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D2\Embedded-Systems-Design-II\Final-Project-Code\dave-pose-detect-local\"/>
    </mc:Choice>
  </mc:AlternateContent>
  <xr:revisionPtr revIDLastSave="0" documentId="13_ncr:1_{F23EA924-31EB-4745-8475-AD2E94FB0DD6}" xr6:coauthVersionLast="46" xr6:coauthVersionMax="46" xr10:uidLastSave="{00000000-0000-0000-0000-000000000000}"/>
  <bookViews>
    <workbookView xWindow="38280" yWindow="2700" windowWidth="29040" windowHeight="15840" xr2:uid="{09820C90-6259-4AD6-ADD5-E860045761AD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B26" i="1"/>
  <c r="B25" i="1"/>
  <c r="B27" i="1"/>
  <c r="B24" i="1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11" i="3"/>
  <c r="E30" i="2"/>
  <c r="B30" i="1" l="1"/>
  <c r="B35" i="1" s="1"/>
  <c r="B28" i="1" l="1"/>
  <c r="B33" i="1" s="1"/>
  <c r="B29" i="1"/>
  <c r="B34" i="1" s="1"/>
</calcChain>
</file>

<file path=xl/sharedStrings.xml><?xml version="1.0" encoding="utf-8"?>
<sst xmlns="http://schemas.openxmlformats.org/spreadsheetml/2006/main" count="122" uniqueCount="69">
  <si>
    <t>Baseline</t>
  </si>
  <si>
    <t>Focal Length</t>
  </si>
  <si>
    <t>mm</t>
  </si>
  <si>
    <t>59.7985  471.7834</t>
  </si>
  <si>
    <t xml:space="preserve">  </t>
  </si>
  <si>
    <t>62.7542  476.9658</t>
  </si>
  <si>
    <t>60.5876  503.0217</t>
  </si>
  <si>
    <t>76.9917  512.6297</t>
  </si>
  <si>
    <t>66.6963  514.4755</t>
  </si>
  <si>
    <t>62.5766  510.8316</t>
  </si>
  <si>
    <t>53.4012  477.0215</t>
  </si>
  <si>
    <t xml:space="preserve"> </t>
  </si>
  <si>
    <t>57.4398  469.4520</t>
  </si>
  <si>
    <t>66.7448  491.4788</t>
  </si>
  <si>
    <t>68.6922  489.4517</t>
  </si>
  <si>
    <t>73.9251  482.6240</t>
  </si>
  <si>
    <t>58.5956  488.4364</t>
  </si>
  <si>
    <t>63.0965  437.1308</t>
  </si>
  <si>
    <t>62.7377  435.2930</t>
  </si>
  <si>
    <t xml:space="preserve">   </t>
  </si>
  <si>
    <t>64.8829  431.7544</t>
  </si>
  <si>
    <t>51.0402  498.0887</t>
  </si>
  <si>
    <t>57.2045  493.5635</t>
  </si>
  <si>
    <t>62.7122  490.6084</t>
  </si>
  <si>
    <t>55.1034  499.3033</t>
  </si>
  <si>
    <t>52.4269  494.4102</t>
  </si>
  <si>
    <t>32.9791  501.6903</t>
  </si>
  <si>
    <t>18.3617  507.4777</t>
  </si>
  <si>
    <t>63.8033  467.6852</t>
  </si>
  <si>
    <t>80.1060  460.3953</t>
  </si>
  <si>
    <t>46.1970  452.2645</t>
  </si>
  <si>
    <t>53.4105  450.3243</t>
  </si>
  <si>
    <t>focal length</t>
  </si>
  <si>
    <t>baseline</t>
  </si>
  <si>
    <t>pixel size</t>
  </si>
  <si>
    <t>width</t>
  </si>
  <si>
    <t>height</t>
  </si>
  <si>
    <t>x principal point</t>
  </si>
  <si>
    <t>y principal point</t>
  </si>
  <si>
    <t>px</t>
  </si>
  <si>
    <t>Z</t>
  </si>
  <si>
    <t>Xmin</t>
  </si>
  <si>
    <t>Xmax</t>
  </si>
  <si>
    <t>Ymin</t>
  </si>
  <si>
    <t>Ymax</t>
  </si>
  <si>
    <t>disparity</t>
  </si>
  <si>
    <t>x-principal</t>
  </si>
  <si>
    <t>y-principal</t>
  </si>
  <si>
    <t>stereoParams.CameraParameters1.Intrinsics</t>
  </si>
  <si>
    <t>X</t>
  </si>
  <si>
    <t>Y</t>
  </si>
  <si>
    <t>stereoParams.CameraParameters2.Intrinsics</t>
  </si>
  <si>
    <t>TranslationOfCamera2</t>
  </si>
  <si>
    <t>FocalLength</t>
  </si>
  <si>
    <t>PrincipalPoint</t>
  </si>
  <si>
    <t>ImageSize</t>
  </si>
  <si>
    <t>RadialDistortion</t>
  </si>
  <si>
    <t>px/mm</t>
  </si>
  <si>
    <t>Left Image Ball Centroid</t>
  </si>
  <si>
    <t>Right Image Ball Centroid</t>
  </si>
  <si>
    <t>Meter</t>
  </si>
  <si>
    <t>worldCoordinates =</t>
  </si>
  <si>
    <t>eulZYX =</t>
  </si>
  <si>
    <t>Translation =</t>
  </si>
  <si>
    <t>x =</t>
  </si>
  <si>
    <t>y =</t>
  </si>
  <si>
    <t>z =</t>
  </si>
  <si>
    <t>m</t>
  </si>
  <si>
    <t>MATLAB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</si>
</sst>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2" fontId="0" fillId="0" borderId="1" xfId="0" applyNumberFormat="1" applyBorder="1"/>
    <xf numFmtId="164" fontId="0" fillId="0" borderId="0" xfId="0" applyNumberFormat="1"/>
    <xf numFmtId="0" fontId="0" fillId="0" borderId="14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Border="1" applyAlignment="1" applyProtection="1">
      <alignment vertical="center"/>
      <protection locked="0"/>
    </xf>
    <xf numFmtId="2" fontId="0" fillId="0" borderId="5" xfId="0" applyNumberForma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0" borderId="7" xfId="0" applyBorder="1" applyAlignment="1" applyProtection="1">
      <alignment vertical="center"/>
      <protection locked="0"/>
    </xf>
    <xf numFmtId="11" fontId="0" fillId="0" borderId="0" xfId="0" applyNumberFormat="1" applyProtection="1">
      <protection locked="0"/>
    </xf>
    <xf numFmtId="2" fontId="0" fillId="0" borderId="1" xfId="0" applyNumberForma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8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4" xfId="0" applyBorder="1" applyAlignment="1" applyProtection="1">
      <alignment vertical="center"/>
    </xf>
    <xf numFmtId="0" fontId="0" fillId="0" borderId="2" xfId="0" applyBorder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quotePrefix="1" applyAlignment="1" applyProtection="1">
      <alignment horizontal="center" vertical="center"/>
    </xf>
    <xf numFmtId="0" fontId="0" fillId="0" borderId="0" xfId="0" applyBorder="1" applyProtection="1"/>
    <xf numFmtId="0" fontId="1" fillId="0" borderId="4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5" xfId="0" quotePrefix="1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horizontal="center" vertical="center"/>
    </xf>
    <xf numFmtId="0" fontId="1" fillId="0" borderId="3" xfId="0" quotePrefix="1" applyFont="1" applyBorder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Protection="1"/>
    <xf numFmtId="2" fontId="0" fillId="0" borderId="8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0" xfId="0" applyAlignment="1" applyProtection="1">
      <alignment horizontal="right"/>
      <protection locked="0"/>
    </xf>
    <xf numFmtId="165" fontId="0" fillId="0" borderId="1" xfId="0" applyNumberForma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AE59-0815-4CDC-B663-5B4500C8051D}">
  <dimension ref="A1:H45"/>
  <sheetViews>
    <sheetView tabSelected="1" workbookViewId="0">
      <selection activeCell="C15" sqref="C15"/>
    </sheetView>
  </sheetViews>
  <sheetFormatPr defaultRowHeight="15" x14ac:dyDescent="0.25"/>
  <cols>
    <col min="1" max="1" width="23.7109375" style="5" bestFit="1" customWidth="1"/>
    <col min="2" max="2" width="12" style="5" bestFit="1" customWidth="1"/>
    <col min="3" max="3" width="8.7109375" style="5" bestFit="1" customWidth="1"/>
    <col min="4" max="4" width="7" style="5" bestFit="1" customWidth="1"/>
    <col min="5" max="5" width="16.5703125" style="5" bestFit="1" customWidth="1"/>
    <col min="6" max="6" width="3" style="5" bestFit="1" customWidth="1"/>
    <col min="7" max="7" width="9.28515625" style="5" bestFit="1" customWidth="1"/>
    <col min="8" max="8" width="6" style="5" bestFit="1" customWidth="1"/>
    <col min="9" max="9" width="11.42578125" style="5" bestFit="1" customWidth="1"/>
    <col min="10" max="16384" width="9.140625" style="5"/>
  </cols>
  <sheetData>
    <row r="1" spans="1:8" ht="15.75" thickBot="1" x14ac:dyDescent="0.3">
      <c r="A1" s="38" t="s">
        <v>52</v>
      </c>
      <c r="B1" s="3">
        <v>-59.598599999999998</v>
      </c>
      <c r="C1" s="39"/>
      <c r="D1" s="40"/>
      <c r="E1" s="4"/>
    </row>
    <row r="2" spans="1:8" ht="15.75" thickBot="1" x14ac:dyDescent="0.3">
      <c r="A2" s="4"/>
      <c r="B2" s="6"/>
      <c r="C2" s="4"/>
      <c r="D2" s="4"/>
      <c r="E2" s="4"/>
      <c r="G2" s="5" t="s">
        <v>34</v>
      </c>
      <c r="H2" s="5">
        <v>6.0000000000000001E-3</v>
      </c>
    </row>
    <row r="3" spans="1:8" x14ac:dyDescent="0.25">
      <c r="A3" s="46" t="s">
        <v>48</v>
      </c>
      <c r="B3" s="47"/>
      <c r="C3" s="48"/>
      <c r="D3" s="4"/>
      <c r="E3" s="4"/>
      <c r="G3" s="5" t="s">
        <v>57</v>
      </c>
      <c r="H3" s="5">
        <v>166.7</v>
      </c>
    </row>
    <row r="4" spans="1:8" x14ac:dyDescent="0.25">
      <c r="A4" s="24"/>
      <c r="B4" s="26" t="s">
        <v>49</v>
      </c>
      <c r="C4" s="27" t="s">
        <v>50</v>
      </c>
      <c r="D4" s="7"/>
      <c r="E4" s="4"/>
    </row>
    <row r="5" spans="1:8" x14ac:dyDescent="0.25">
      <c r="A5" s="24" t="s">
        <v>53</v>
      </c>
      <c r="B5" s="8">
        <v>1007.8</v>
      </c>
      <c r="C5" s="9">
        <v>1011.6</v>
      </c>
      <c r="D5" s="7"/>
      <c r="E5" s="4"/>
    </row>
    <row r="6" spans="1:8" x14ac:dyDescent="0.25">
      <c r="A6" s="24" t="s">
        <v>54</v>
      </c>
      <c r="B6" s="6">
        <v>298.7989</v>
      </c>
      <c r="C6" s="10">
        <v>238.9401</v>
      </c>
      <c r="D6" s="7"/>
      <c r="E6" s="4"/>
    </row>
    <row r="7" spans="1:8" x14ac:dyDescent="0.25">
      <c r="A7" s="24" t="s">
        <v>55</v>
      </c>
      <c r="B7" s="6">
        <v>480</v>
      </c>
      <c r="C7" s="11">
        <v>752</v>
      </c>
      <c r="D7" s="4"/>
      <c r="E7" s="4"/>
    </row>
    <row r="8" spans="1:8" ht="15.75" thickBot="1" x14ac:dyDescent="0.3">
      <c r="A8" s="25" t="s">
        <v>56</v>
      </c>
      <c r="B8" s="12">
        <v>-0.3836</v>
      </c>
      <c r="C8" s="13">
        <v>0.28179999999999999</v>
      </c>
      <c r="D8" s="4"/>
      <c r="E8" s="4"/>
    </row>
    <row r="9" spans="1:8" ht="15.75" thickBot="1" x14ac:dyDescent="0.3">
      <c r="A9" s="4"/>
      <c r="B9" s="4"/>
      <c r="C9" s="4"/>
      <c r="D9" s="4"/>
      <c r="E9" s="4"/>
    </row>
    <row r="10" spans="1:8" x14ac:dyDescent="0.25">
      <c r="A10" s="43" t="s">
        <v>51</v>
      </c>
      <c r="B10" s="44"/>
      <c r="C10" s="45"/>
      <c r="D10" s="4"/>
      <c r="E10" s="4"/>
    </row>
    <row r="11" spans="1:8" x14ac:dyDescent="0.25">
      <c r="A11" s="24"/>
      <c r="B11" s="26" t="s">
        <v>49</v>
      </c>
      <c r="C11" s="27" t="s">
        <v>50</v>
      </c>
      <c r="D11" s="4"/>
      <c r="E11" s="4"/>
    </row>
    <row r="12" spans="1:8" x14ac:dyDescent="0.25">
      <c r="A12" s="24" t="s">
        <v>53</v>
      </c>
      <c r="B12" s="8">
        <v>1004.6</v>
      </c>
      <c r="C12" s="9">
        <v>1009.4</v>
      </c>
      <c r="D12" s="4"/>
      <c r="E12" s="4"/>
    </row>
    <row r="13" spans="1:8" x14ac:dyDescent="0.25">
      <c r="A13" s="24" t="s">
        <v>54</v>
      </c>
      <c r="B13" s="6">
        <v>313.36619999999999</v>
      </c>
      <c r="C13" s="10">
        <v>246.35159999999999</v>
      </c>
      <c r="D13" s="4"/>
      <c r="E13" s="4"/>
    </row>
    <row r="14" spans="1:8" x14ac:dyDescent="0.25">
      <c r="A14" s="24" t="s">
        <v>55</v>
      </c>
      <c r="B14" s="6">
        <v>480</v>
      </c>
      <c r="C14" s="11">
        <v>752</v>
      </c>
      <c r="D14" s="4"/>
      <c r="E14" s="4"/>
    </row>
    <row r="15" spans="1:8" ht="15.75" thickBot="1" x14ac:dyDescent="0.3">
      <c r="A15" s="25" t="s">
        <v>56</v>
      </c>
      <c r="B15" s="12">
        <v>-0.39589999999999997</v>
      </c>
      <c r="C15" s="13">
        <v>0.86439999999999995</v>
      </c>
      <c r="D15" s="4"/>
      <c r="E15" s="4"/>
    </row>
    <row r="16" spans="1:8" ht="15.75" thickBot="1" x14ac:dyDescent="0.3">
      <c r="A16" s="4"/>
      <c r="B16" s="4"/>
      <c r="C16" s="4"/>
      <c r="D16" s="4"/>
      <c r="E16" s="4"/>
    </row>
    <row r="17" spans="1:7" x14ac:dyDescent="0.25">
      <c r="A17" s="28"/>
      <c r="B17" s="29" t="s">
        <v>49</v>
      </c>
      <c r="C17" s="30" t="s">
        <v>50</v>
      </c>
      <c r="D17" s="4"/>
      <c r="E17" s="4"/>
    </row>
    <row r="18" spans="1:7" x14ac:dyDescent="0.25">
      <c r="A18" s="24" t="s">
        <v>58</v>
      </c>
      <c r="B18" s="6">
        <v>367</v>
      </c>
      <c r="C18" s="11">
        <v>351</v>
      </c>
      <c r="D18" s="4"/>
      <c r="E18" s="4"/>
    </row>
    <row r="19" spans="1:7" ht="15.75" thickBot="1" x14ac:dyDescent="0.3">
      <c r="A19" s="25" t="s">
        <v>59</v>
      </c>
      <c r="B19" s="12">
        <v>172</v>
      </c>
      <c r="C19" s="13">
        <v>363</v>
      </c>
      <c r="D19" s="4"/>
      <c r="E19" s="4"/>
    </row>
    <row r="20" spans="1:7" x14ac:dyDescent="0.25">
      <c r="A20" s="4"/>
      <c r="B20" s="4"/>
      <c r="C20" s="4"/>
      <c r="D20" s="4"/>
      <c r="E20" s="4"/>
    </row>
    <row r="21" spans="1:7" x14ac:dyDescent="0.25">
      <c r="A21" s="4"/>
      <c r="B21" s="4"/>
      <c r="C21" s="4"/>
      <c r="D21" s="4"/>
      <c r="E21" s="4"/>
    </row>
    <row r="22" spans="1:7" x14ac:dyDescent="0.25">
      <c r="A22" s="4"/>
      <c r="B22" s="4"/>
      <c r="C22" s="4"/>
      <c r="D22" s="4"/>
      <c r="E22" s="4"/>
      <c r="G22" s="14"/>
    </row>
    <row r="23" spans="1:7" ht="15.75" thickBot="1" x14ac:dyDescent="0.3">
      <c r="A23" s="4"/>
      <c r="B23" s="21" t="s">
        <v>49</v>
      </c>
      <c r="C23" s="22" t="s">
        <v>50</v>
      </c>
      <c r="D23" s="4"/>
      <c r="E23" s="4"/>
      <c r="G23" s="14"/>
    </row>
    <row r="24" spans="1:7" ht="15.75" thickBot="1" x14ac:dyDescent="0.3">
      <c r="A24" s="31" t="s">
        <v>1</v>
      </c>
      <c r="B24" s="42">
        <f>B5/H3</f>
        <v>6.0455908818236352</v>
      </c>
      <c r="C24" s="15">
        <f>C5/H3</f>
        <v>6.0683863227354538</v>
      </c>
      <c r="D24" s="19" t="s">
        <v>2</v>
      </c>
      <c r="E24" s="4"/>
    </row>
    <row r="25" spans="1:7" ht="15.75" thickBot="1" x14ac:dyDescent="0.3">
      <c r="A25" s="31" t="s">
        <v>46</v>
      </c>
      <c r="B25" s="16">
        <f>B6</f>
        <v>298.7989</v>
      </c>
      <c r="C25" s="20" t="s">
        <v>39</v>
      </c>
      <c r="D25" s="4"/>
      <c r="E25" s="4"/>
    </row>
    <row r="26" spans="1:7" ht="15.75" thickBot="1" x14ac:dyDescent="0.3">
      <c r="A26" s="31" t="s">
        <v>47</v>
      </c>
      <c r="B26" s="16">
        <f>C6</f>
        <v>238.9401</v>
      </c>
      <c r="C26" s="19" t="s">
        <v>39</v>
      </c>
      <c r="D26" s="4"/>
      <c r="E26" s="4"/>
    </row>
    <row r="27" spans="1:7" ht="15.75" thickBot="1" x14ac:dyDescent="0.3">
      <c r="A27" s="31" t="s">
        <v>0</v>
      </c>
      <c r="B27" s="16">
        <f>B1*-1</f>
        <v>59.598599999999998</v>
      </c>
      <c r="C27" s="19" t="s">
        <v>2</v>
      </c>
      <c r="D27" s="4"/>
      <c r="E27" s="4"/>
    </row>
    <row r="28" spans="1:7" ht="15.75" thickBot="1" x14ac:dyDescent="0.3">
      <c r="A28" s="32" t="s">
        <v>49</v>
      </c>
      <c r="B28" s="17">
        <f>B30*(((B18-B25)*H2)/B24)</f>
        <v>20.844564504923078</v>
      </c>
      <c r="C28" s="23" t="s">
        <v>2</v>
      </c>
    </row>
    <row r="29" spans="1:7" ht="15.75" thickBot="1" x14ac:dyDescent="0.3">
      <c r="A29" s="33" t="s">
        <v>50</v>
      </c>
      <c r="B29" s="18">
        <f>B30*(((C18-B26)*H2)/C24)</f>
        <v>34.120643300574322</v>
      </c>
      <c r="C29" s="23" t="s">
        <v>2</v>
      </c>
    </row>
    <row r="30" spans="1:7" ht="15.75" thickBot="1" x14ac:dyDescent="0.3">
      <c r="A30" s="33" t="s">
        <v>40</v>
      </c>
      <c r="B30" s="18">
        <f>(B27*B24)/((B18-B19)*H2)</f>
        <v>307.95619891406335</v>
      </c>
      <c r="C30" s="23" t="s">
        <v>2</v>
      </c>
    </row>
    <row r="31" spans="1:7" x14ac:dyDescent="0.25">
      <c r="A31" s="34"/>
    </row>
    <row r="32" spans="1:7" ht="15.75" thickBot="1" x14ac:dyDescent="0.3">
      <c r="A32" s="33" t="s">
        <v>60</v>
      </c>
    </row>
    <row r="33" spans="1:4" x14ac:dyDescent="0.25">
      <c r="A33" s="33" t="s">
        <v>49</v>
      </c>
      <c r="B33" s="35">
        <f>B28/1000</f>
        <v>2.0844564504923078E-2</v>
      </c>
      <c r="C33" s="5" t="s">
        <v>67</v>
      </c>
    </row>
    <row r="34" spans="1:4" x14ac:dyDescent="0.25">
      <c r="A34" s="33" t="s">
        <v>50</v>
      </c>
      <c r="B34" s="36">
        <f>B29/1000</f>
        <v>3.4120643300574321E-2</v>
      </c>
      <c r="C34" s="5" t="s">
        <v>67</v>
      </c>
    </row>
    <row r="35" spans="1:4" ht="15.75" thickBot="1" x14ac:dyDescent="0.3">
      <c r="A35" s="33" t="s">
        <v>40</v>
      </c>
      <c r="B35" s="37">
        <f>B30/1000</f>
        <v>0.30795619891406334</v>
      </c>
      <c r="C35" s="5" t="s">
        <v>67</v>
      </c>
    </row>
    <row r="39" spans="1:4" x14ac:dyDescent="0.25">
      <c r="A39" s="49" t="s">
        <v>68</v>
      </c>
      <c r="B39" s="49"/>
      <c r="C39" s="49"/>
      <c r="D39" s="49"/>
    </row>
    <row r="40" spans="1:4" x14ac:dyDescent="0.25">
      <c r="A40" s="41" t="s">
        <v>62</v>
      </c>
      <c r="B40" s="5">
        <v>-82.953400000000002</v>
      </c>
      <c r="C40" s="5">
        <v>-9.1201000000000008</v>
      </c>
      <c r="D40" s="5">
        <v>-8.2140000000000004</v>
      </c>
    </row>
    <row r="41" spans="1:4" x14ac:dyDescent="0.25">
      <c r="A41" s="41" t="s">
        <v>63</v>
      </c>
      <c r="B41" s="5">
        <v>5.6497000000000002</v>
      </c>
      <c r="C41" s="5">
        <v>-0.27050000000000002</v>
      </c>
      <c r="D41" s="5">
        <v>29.058399999999999</v>
      </c>
    </row>
    <row r="42" spans="1:4" x14ac:dyDescent="0.25">
      <c r="A42" s="41" t="s">
        <v>64</v>
      </c>
      <c r="B42" s="5">
        <v>5.3499999999999999E-2</v>
      </c>
    </row>
    <row r="43" spans="1:4" x14ac:dyDescent="0.25">
      <c r="A43" s="41" t="s">
        <v>65</v>
      </c>
      <c r="B43" s="5">
        <v>3.7999999999999999E-2</v>
      </c>
    </row>
    <row r="44" spans="1:4" x14ac:dyDescent="0.25">
      <c r="A44" s="41" t="s">
        <v>66</v>
      </c>
      <c r="B44" s="5">
        <v>2.69E-2</v>
      </c>
    </row>
    <row r="45" spans="1:4" x14ac:dyDescent="0.25">
      <c r="A45" s="41" t="s">
        <v>61</v>
      </c>
      <c r="B45" s="5">
        <v>3.0200000000000001E-2</v>
      </c>
      <c r="C45" s="5">
        <v>4.24E-2</v>
      </c>
      <c r="D45" s="5">
        <v>8.6E-3</v>
      </c>
    </row>
  </sheetData>
  <mergeCells count="3">
    <mergeCell ref="A10:C10"/>
    <mergeCell ref="A3:C3"/>
    <mergeCell ref="A39:D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57E9-4A9A-41AB-A682-117D5F18B633}">
  <dimension ref="A1:F41"/>
  <sheetViews>
    <sheetView workbookViewId="0">
      <selection activeCell="A3" sqref="A3:B3"/>
    </sheetView>
  </sheetViews>
  <sheetFormatPr defaultRowHeight="15" x14ac:dyDescent="0.25"/>
  <cols>
    <col min="1" max="1" width="15.42578125" bestFit="1" customWidth="1"/>
    <col min="2" max="2" width="12.28515625" bestFit="1" customWidth="1"/>
  </cols>
  <sheetData>
    <row r="1" spans="1:6" ht="15.75" thickBot="1" x14ac:dyDescent="0.3">
      <c r="A1" t="s">
        <v>32</v>
      </c>
      <c r="B1" s="1">
        <v>6.02</v>
      </c>
      <c r="C1" t="s">
        <v>2</v>
      </c>
    </row>
    <row r="2" spans="1:6" x14ac:dyDescent="0.25">
      <c r="A2" t="s">
        <v>33</v>
      </c>
      <c r="B2">
        <v>59.79</v>
      </c>
      <c r="C2" t="s">
        <v>2</v>
      </c>
    </row>
    <row r="3" spans="1:6" x14ac:dyDescent="0.25">
      <c r="A3" t="s">
        <v>34</v>
      </c>
      <c r="B3">
        <v>6.0000000000000001E-3</v>
      </c>
      <c r="C3" t="s">
        <v>2</v>
      </c>
    </row>
    <row r="4" spans="1:6" x14ac:dyDescent="0.25">
      <c r="A4" t="s">
        <v>35</v>
      </c>
      <c r="B4">
        <v>752</v>
      </c>
      <c r="C4" t="s">
        <v>39</v>
      </c>
    </row>
    <row r="5" spans="1:6" x14ac:dyDescent="0.25">
      <c r="A5" t="s">
        <v>36</v>
      </c>
      <c r="B5">
        <v>480</v>
      </c>
      <c r="C5" t="s">
        <v>39</v>
      </c>
    </row>
    <row r="6" spans="1:6" x14ac:dyDescent="0.25">
      <c r="A6" t="s">
        <v>37</v>
      </c>
      <c r="B6">
        <v>325.77670000000001</v>
      </c>
      <c r="C6" t="s">
        <v>39</v>
      </c>
    </row>
    <row r="7" spans="1:6" x14ac:dyDescent="0.25">
      <c r="A7" t="s">
        <v>38</v>
      </c>
      <c r="B7">
        <v>254.64510000000001</v>
      </c>
      <c r="C7" t="s">
        <v>39</v>
      </c>
    </row>
    <row r="10" spans="1:6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6" x14ac:dyDescent="0.25">
      <c r="A11">
        <v>10</v>
      </c>
      <c r="B11" s="2">
        <f>((0-B$6)*B$3)*A11/B$1</f>
        <v>-3.2469438538205981</v>
      </c>
      <c r="D11" s="2">
        <f>((0-B$7)*B$3)*A11/B$1</f>
        <v>-2.5379910299003328</v>
      </c>
    </row>
    <row r="12" spans="1:6" x14ac:dyDescent="0.25">
      <c r="A12">
        <v>20</v>
      </c>
      <c r="B12" s="2">
        <f t="shared" ref="B12:B41" si="0">((0-B$6)*B$3)*A12/B$1</f>
        <v>-6.4938877076411963</v>
      </c>
      <c r="D12" s="2">
        <f t="shared" ref="D12:D41" si="1">((0-B$7)*B$3)*A12/B$1</f>
        <v>-5.0759820598006655</v>
      </c>
    </row>
    <row r="13" spans="1:6" x14ac:dyDescent="0.25">
      <c r="A13">
        <v>30</v>
      </c>
      <c r="B13" s="2">
        <f t="shared" si="0"/>
        <v>-9.7408315614617962</v>
      </c>
      <c r="D13" s="2">
        <f t="shared" si="1"/>
        <v>-7.6139730897009983</v>
      </c>
    </row>
    <row r="14" spans="1:6" x14ac:dyDescent="0.25">
      <c r="A14">
        <v>40</v>
      </c>
      <c r="B14" s="2">
        <f t="shared" si="0"/>
        <v>-12.987775415282393</v>
      </c>
      <c r="D14" s="2">
        <f t="shared" si="1"/>
        <v>-10.151964119601331</v>
      </c>
    </row>
    <row r="15" spans="1:6" x14ac:dyDescent="0.25">
      <c r="A15">
        <v>50</v>
      </c>
      <c r="B15" s="2">
        <f t="shared" si="0"/>
        <v>-16.234719269102992</v>
      </c>
      <c r="D15" s="2">
        <f t="shared" si="1"/>
        <v>-12.689955149501664</v>
      </c>
    </row>
    <row r="16" spans="1:6" x14ac:dyDescent="0.25">
      <c r="A16">
        <v>60</v>
      </c>
      <c r="B16" s="2">
        <f t="shared" si="0"/>
        <v>-19.481663122923592</v>
      </c>
      <c r="D16" s="2">
        <f t="shared" si="1"/>
        <v>-15.227946179401997</v>
      </c>
    </row>
    <row r="17" spans="1:4" x14ac:dyDescent="0.25">
      <c r="A17">
        <v>70</v>
      </c>
      <c r="B17" s="2">
        <f t="shared" si="0"/>
        <v>-22.728606976744192</v>
      </c>
      <c r="D17" s="2">
        <f t="shared" si="1"/>
        <v>-17.765937209302329</v>
      </c>
    </row>
    <row r="18" spans="1:4" x14ac:dyDescent="0.25">
      <c r="A18">
        <v>80</v>
      </c>
      <c r="B18" s="2">
        <f t="shared" si="0"/>
        <v>-25.975550830564785</v>
      </c>
      <c r="D18" s="2">
        <f t="shared" si="1"/>
        <v>-20.303928239202662</v>
      </c>
    </row>
    <row r="19" spans="1:4" x14ac:dyDescent="0.25">
      <c r="A19">
        <v>90</v>
      </c>
      <c r="B19" s="2">
        <f t="shared" si="0"/>
        <v>-29.222494684385385</v>
      </c>
      <c r="D19" s="2">
        <f t="shared" si="1"/>
        <v>-22.841919269102995</v>
      </c>
    </row>
    <row r="20" spans="1:4" x14ac:dyDescent="0.25">
      <c r="A20">
        <v>100</v>
      </c>
      <c r="B20" s="2">
        <f t="shared" si="0"/>
        <v>-32.469438538205985</v>
      </c>
      <c r="D20" s="2">
        <f t="shared" si="1"/>
        <v>-25.379910299003328</v>
      </c>
    </row>
    <row r="21" spans="1:4" x14ac:dyDescent="0.25">
      <c r="A21">
        <v>110</v>
      </c>
      <c r="B21" s="2">
        <f t="shared" si="0"/>
        <v>-35.716382392026581</v>
      </c>
      <c r="D21" s="2">
        <f t="shared" si="1"/>
        <v>-27.91790132890366</v>
      </c>
    </row>
    <row r="22" spans="1:4" x14ac:dyDescent="0.25">
      <c r="A22">
        <v>120</v>
      </c>
      <c r="B22" s="2">
        <f t="shared" si="0"/>
        <v>-38.963326245847185</v>
      </c>
      <c r="D22" s="2">
        <f t="shared" si="1"/>
        <v>-30.455892358803993</v>
      </c>
    </row>
    <row r="23" spans="1:4" x14ac:dyDescent="0.25">
      <c r="A23">
        <v>130</v>
      </c>
      <c r="B23" s="2">
        <f t="shared" si="0"/>
        <v>-42.210270099667781</v>
      </c>
      <c r="D23" s="2">
        <f t="shared" si="1"/>
        <v>-32.993883388704326</v>
      </c>
    </row>
    <row r="24" spans="1:4" x14ac:dyDescent="0.25">
      <c r="A24">
        <v>140</v>
      </c>
      <c r="B24" s="2">
        <f t="shared" si="0"/>
        <v>-45.457213953488385</v>
      </c>
      <c r="D24" s="2">
        <f t="shared" si="1"/>
        <v>-35.531874418604659</v>
      </c>
    </row>
    <row r="25" spans="1:4" x14ac:dyDescent="0.25">
      <c r="A25">
        <v>150</v>
      </c>
      <c r="B25" s="2">
        <f t="shared" si="0"/>
        <v>-48.704157807308981</v>
      </c>
      <c r="D25" s="2">
        <f t="shared" si="1"/>
        <v>-38.069865448504991</v>
      </c>
    </row>
    <row r="26" spans="1:4" x14ac:dyDescent="0.25">
      <c r="A26">
        <v>160</v>
      </c>
      <c r="B26" s="2">
        <f t="shared" si="0"/>
        <v>-51.95110166112957</v>
      </c>
      <c r="D26" s="2">
        <f t="shared" si="1"/>
        <v>-40.607856478405324</v>
      </c>
    </row>
    <row r="27" spans="1:4" x14ac:dyDescent="0.25">
      <c r="A27">
        <v>170</v>
      </c>
      <c r="B27" s="2">
        <f t="shared" si="0"/>
        <v>-55.198045514950174</v>
      </c>
      <c r="D27" s="2">
        <f t="shared" si="1"/>
        <v>-43.145847508305657</v>
      </c>
    </row>
    <row r="28" spans="1:4" x14ac:dyDescent="0.25">
      <c r="A28">
        <v>180</v>
      </c>
      <c r="B28" s="2">
        <f t="shared" si="0"/>
        <v>-58.44498936877077</v>
      </c>
      <c r="D28" s="2">
        <f t="shared" si="1"/>
        <v>-45.68383853820599</v>
      </c>
    </row>
    <row r="29" spans="1:4" x14ac:dyDescent="0.25">
      <c r="A29">
        <v>190</v>
      </c>
      <c r="B29" s="2">
        <f t="shared" si="0"/>
        <v>-61.691933222591373</v>
      </c>
      <c r="D29" s="2">
        <f t="shared" si="1"/>
        <v>-48.221829568106322</v>
      </c>
    </row>
    <row r="30" spans="1:4" x14ac:dyDescent="0.25">
      <c r="A30">
        <v>200</v>
      </c>
      <c r="B30" s="2">
        <f t="shared" si="0"/>
        <v>-64.93887707641197</v>
      </c>
      <c r="D30" s="2">
        <f t="shared" si="1"/>
        <v>-50.759820598006655</v>
      </c>
    </row>
    <row r="31" spans="1:4" x14ac:dyDescent="0.25">
      <c r="A31">
        <v>210</v>
      </c>
      <c r="B31" s="2">
        <f t="shared" si="0"/>
        <v>-68.185820930232566</v>
      </c>
      <c r="D31" s="2">
        <f t="shared" si="1"/>
        <v>-53.297811627906988</v>
      </c>
    </row>
    <row r="32" spans="1:4" x14ac:dyDescent="0.25">
      <c r="A32">
        <v>220</v>
      </c>
      <c r="B32" s="2">
        <f t="shared" si="0"/>
        <v>-71.432764784053163</v>
      </c>
      <c r="D32" s="2">
        <f t="shared" si="1"/>
        <v>-55.835802657807321</v>
      </c>
    </row>
    <row r="33" spans="1:4" x14ac:dyDescent="0.25">
      <c r="A33">
        <v>230</v>
      </c>
      <c r="B33" s="2">
        <f t="shared" si="0"/>
        <v>-74.679708637873773</v>
      </c>
      <c r="D33" s="2">
        <f t="shared" si="1"/>
        <v>-58.373793687707654</v>
      </c>
    </row>
    <row r="34" spans="1:4" x14ac:dyDescent="0.25">
      <c r="A34">
        <v>240</v>
      </c>
      <c r="B34" s="2">
        <f t="shared" si="0"/>
        <v>-77.926652491694369</v>
      </c>
      <c r="D34" s="2">
        <f t="shared" si="1"/>
        <v>-60.911784717607986</v>
      </c>
    </row>
    <row r="35" spans="1:4" x14ac:dyDescent="0.25">
      <c r="A35">
        <v>250</v>
      </c>
      <c r="B35" s="2">
        <f t="shared" si="0"/>
        <v>-81.173596345514966</v>
      </c>
      <c r="D35" s="2">
        <f t="shared" si="1"/>
        <v>-63.449775747508319</v>
      </c>
    </row>
    <row r="36" spans="1:4" x14ac:dyDescent="0.25">
      <c r="A36">
        <v>260</v>
      </c>
      <c r="B36" s="2">
        <f t="shared" si="0"/>
        <v>-84.420540199335562</v>
      </c>
      <c r="D36" s="2">
        <f t="shared" si="1"/>
        <v>-65.987766777408652</v>
      </c>
    </row>
    <row r="37" spans="1:4" x14ac:dyDescent="0.25">
      <c r="A37">
        <v>270</v>
      </c>
      <c r="B37" s="2">
        <f t="shared" si="0"/>
        <v>-87.667484053156159</v>
      </c>
      <c r="D37" s="2">
        <f t="shared" si="1"/>
        <v>-68.525757807308977</v>
      </c>
    </row>
    <row r="38" spans="1:4" x14ac:dyDescent="0.25">
      <c r="A38">
        <v>280</v>
      </c>
      <c r="B38" s="2">
        <f t="shared" si="0"/>
        <v>-90.914427906976769</v>
      </c>
      <c r="D38" s="2">
        <f t="shared" si="1"/>
        <v>-71.063748837209317</v>
      </c>
    </row>
    <row r="39" spans="1:4" x14ac:dyDescent="0.25">
      <c r="A39">
        <v>290</v>
      </c>
      <c r="B39" s="2">
        <f t="shared" si="0"/>
        <v>-94.161371760797365</v>
      </c>
      <c r="D39" s="2">
        <f t="shared" si="1"/>
        <v>-73.601739867109643</v>
      </c>
    </row>
    <row r="40" spans="1:4" x14ac:dyDescent="0.25">
      <c r="A40">
        <v>300</v>
      </c>
      <c r="B40" s="2">
        <f t="shared" si="0"/>
        <v>-97.408315614617962</v>
      </c>
      <c r="D40" s="2">
        <f t="shared" si="1"/>
        <v>-76.139730897009983</v>
      </c>
    </row>
    <row r="41" spans="1:4" x14ac:dyDescent="0.25">
      <c r="A41">
        <v>310</v>
      </c>
      <c r="B41" s="2">
        <f t="shared" si="0"/>
        <v>-100.65525946843856</v>
      </c>
      <c r="D41" s="2">
        <f t="shared" si="1"/>
        <v>-78.677721926910309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F571-BC1F-4B5B-94ED-664511F69E16}">
  <dimension ref="D4:F30"/>
  <sheetViews>
    <sheetView workbookViewId="0">
      <selection activeCell="E30" sqref="E30"/>
    </sheetView>
  </sheetViews>
  <sheetFormatPr defaultRowHeight="15" x14ac:dyDescent="0.25"/>
  <sheetData>
    <row r="4" spans="4:6" x14ac:dyDescent="0.25">
      <c r="E4">
        <v>64.149299999999997</v>
      </c>
      <c r="F4" t="s">
        <v>3</v>
      </c>
    </row>
    <row r="5" spans="4:6" x14ac:dyDescent="0.25">
      <c r="D5" t="s">
        <v>4</v>
      </c>
      <c r="E5">
        <v>78.365200000000002</v>
      </c>
      <c r="F5" t="s">
        <v>5</v>
      </c>
    </row>
    <row r="6" spans="4:6" x14ac:dyDescent="0.25">
      <c r="D6" t="s">
        <v>4</v>
      </c>
      <c r="E6">
        <v>56.365400000000001</v>
      </c>
      <c r="F6" t="s">
        <v>6</v>
      </c>
    </row>
    <row r="7" spans="4:6" x14ac:dyDescent="0.25">
      <c r="D7" t="s">
        <v>4</v>
      </c>
      <c r="E7">
        <v>49.237200000000001</v>
      </c>
      <c r="F7" t="s">
        <v>7</v>
      </c>
    </row>
    <row r="8" spans="4:6" x14ac:dyDescent="0.25">
      <c r="D8" t="s">
        <v>4</v>
      </c>
      <c r="E8">
        <v>75.406400000000005</v>
      </c>
      <c r="F8" t="s">
        <v>8</v>
      </c>
    </row>
    <row r="9" spans="4:6" x14ac:dyDescent="0.25">
      <c r="D9" t="s">
        <v>4</v>
      </c>
      <c r="E9">
        <v>98.695099999999996</v>
      </c>
      <c r="F9" t="s">
        <v>9</v>
      </c>
    </row>
    <row r="10" spans="4:6" x14ac:dyDescent="0.25">
      <c r="D10" t="s">
        <v>4</v>
      </c>
      <c r="E10">
        <v>83.081500000000005</v>
      </c>
      <c r="F10" t="s">
        <v>10</v>
      </c>
    </row>
    <row r="11" spans="4:6" x14ac:dyDescent="0.25">
      <c r="D11" t="s">
        <v>11</v>
      </c>
      <c r="E11">
        <v>101.9823</v>
      </c>
      <c r="F11" t="s">
        <v>12</v>
      </c>
    </row>
    <row r="12" spans="4:6" x14ac:dyDescent="0.25">
      <c r="D12" t="s">
        <v>4</v>
      </c>
      <c r="E12">
        <v>77.645799999999994</v>
      </c>
      <c r="F12" t="s">
        <v>13</v>
      </c>
    </row>
    <row r="13" spans="4:6" x14ac:dyDescent="0.25">
      <c r="D13" t="s">
        <v>11</v>
      </c>
      <c r="E13">
        <v>108.98950000000001</v>
      </c>
      <c r="F13" t="s">
        <v>14</v>
      </c>
    </row>
    <row r="14" spans="4:6" x14ac:dyDescent="0.25">
      <c r="D14" t="s">
        <v>11</v>
      </c>
      <c r="E14">
        <v>105.1396</v>
      </c>
      <c r="F14" t="s">
        <v>15</v>
      </c>
    </row>
    <row r="15" spans="4:6" x14ac:dyDescent="0.25">
      <c r="D15" t="s">
        <v>4</v>
      </c>
      <c r="E15">
        <v>53.445500000000003</v>
      </c>
      <c r="F15" t="s">
        <v>16</v>
      </c>
    </row>
    <row r="16" spans="4:6" x14ac:dyDescent="0.25">
      <c r="D16" t="s">
        <v>4</v>
      </c>
      <c r="E16">
        <v>36.011400000000002</v>
      </c>
      <c r="F16" t="s">
        <v>17</v>
      </c>
    </row>
    <row r="17" spans="4:6" x14ac:dyDescent="0.25">
      <c r="D17" t="s">
        <v>4</v>
      </c>
      <c r="E17">
        <v>36.668100000000003</v>
      </c>
      <c r="F17" t="s">
        <v>18</v>
      </c>
    </row>
    <row r="18" spans="4:6" x14ac:dyDescent="0.25">
      <c r="D18" t="s">
        <v>19</v>
      </c>
      <c r="E18">
        <v>9.8559000000000001</v>
      </c>
      <c r="F18" t="s">
        <v>20</v>
      </c>
    </row>
    <row r="19" spans="4:6" x14ac:dyDescent="0.25">
      <c r="D19" t="s">
        <v>4</v>
      </c>
      <c r="E19">
        <v>84.287599999999998</v>
      </c>
      <c r="F19" t="s">
        <v>21</v>
      </c>
    </row>
    <row r="20" spans="4:6" x14ac:dyDescent="0.25">
      <c r="D20" t="s">
        <v>4</v>
      </c>
      <c r="E20">
        <v>83.4328</v>
      </c>
      <c r="F20" t="s">
        <v>22</v>
      </c>
    </row>
    <row r="21" spans="4:6" x14ac:dyDescent="0.25">
      <c r="D21" t="s">
        <v>4</v>
      </c>
      <c r="E21">
        <v>68.444199999999995</v>
      </c>
      <c r="F21" t="s">
        <v>23</v>
      </c>
    </row>
    <row r="22" spans="4:6" x14ac:dyDescent="0.25">
      <c r="D22" t="s">
        <v>4</v>
      </c>
      <c r="E22">
        <v>68.804500000000004</v>
      </c>
      <c r="F22" t="s">
        <v>24</v>
      </c>
    </row>
    <row r="23" spans="4:6" x14ac:dyDescent="0.25">
      <c r="D23" t="s">
        <v>4</v>
      </c>
      <c r="E23">
        <v>66.681200000000004</v>
      </c>
      <c r="F23" t="s">
        <v>25</v>
      </c>
    </row>
    <row r="24" spans="4:6" x14ac:dyDescent="0.25">
      <c r="D24" t="s">
        <v>4</v>
      </c>
      <c r="E24">
        <v>68.180199999999999</v>
      </c>
      <c r="F24" t="s">
        <v>26</v>
      </c>
    </row>
    <row r="25" spans="4:6" x14ac:dyDescent="0.25">
      <c r="D25" t="s">
        <v>4</v>
      </c>
      <c r="E25">
        <v>65.554199999999994</v>
      </c>
      <c r="F25" t="s">
        <v>27</v>
      </c>
    </row>
    <row r="26" spans="4:6" x14ac:dyDescent="0.25">
      <c r="D26" t="s">
        <v>4</v>
      </c>
      <c r="E26">
        <v>55.581600000000002</v>
      </c>
      <c r="F26" t="s">
        <v>28</v>
      </c>
    </row>
    <row r="27" spans="4:6" x14ac:dyDescent="0.25">
      <c r="D27" t="s">
        <v>4</v>
      </c>
      <c r="E27">
        <v>24.8932</v>
      </c>
      <c r="F27" t="s">
        <v>29</v>
      </c>
    </row>
    <row r="28" spans="4:6" x14ac:dyDescent="0.25">
      <c r="D28" t="s">
        <v>4</v>
      </c>
      <c r="E28">
        <v>89.103200000000001</v>
      </c>
      <c r="F28" t="s">
        <v>30</v>
      </c>
    </row>
    <row r="29" spans="4:6" x14ac:dyDescent="0.25">
      <c r="D29" t="s">
        <v>4</v>
      </c>
      <c r="E29">
        <v>80.794600000000003</v>
      </c>
      <c r="F29" t="s">
        <v>31</v>
      </c>
    </row>
    <row r="30" spans="4:6" x14ac:dyDescent="0.25">
      <c r="E30">
        <f>AVERAGE(E4:E29)</f>
        <v>68.876750000000001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Tassoni</dc:creator>
  <cp:lastModifiedBy>David Tassoni</cp:lastModifiedBy>
  <dcterms:created xsi:type="dcterms:W3CDTF">2021-04-30T20:46:23Z</dcterms:created>
  <dcterms:modified xsi:type="dcterms:W3CDTF">2021-05-08T19:32:04Z</dcterms:modified>
</cp:coreProperties>
</file>