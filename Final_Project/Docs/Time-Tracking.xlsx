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C:\ESD2\Embedded-Systems-Design-II\Final_Project\"/>
    </mc:Choice>
  </mc:AlternateContent>
  <xr:revisionPtr revIDLastSave="0" documentId="8_{1DA7F549-74C0-4104-868B-516C9EA13B44}" xr6:coauthVersionLast="46" xr6:coauthVersionMax="46" xr10:uidLastSave="{00000000-0000-0000-0000-000000000000}"/>
  <bookViews>
    <workbookView xWindow="-120" yWindow="-120" windowWidth="38640" windowHeight="21240" xr2:uid="{00000000-000D-0000-FFFF-FFFF00000000}"/>
  </bookViews>
  <sheets>
    <sheet name="Individual Tracking" sheetId="1" r:id="rId1"/>
    <sheet name="Cost 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7" roundtripDataSignature="AMtx7miRa391IeCtZPktoUy2HGQld5mE6Q=="/>
    </ext>
  </extLst>
</workbook>
</file>

<file path=xl/calcChain.xml><?xml version="1.0" encoding="utf-8"?>
<calcChain xmlns="http://schemas.openxmlformats.org/spreadsheetml/2006/main">
  <c r="D193" i="1" l="1"/>
  <c r="D192" i="1"/>
  <c r="D191" i="1"/>
  <c r="D190" i="1"/>
  <c r="D189" i="1"/>
  <c r="D187" i="1"/>
  <c r="D186" i="1"/>
  <c r="D185" i="1"/>
  <c r="D184" i="1"/>
  <c r="E183" i="1" s="1"/>
  <c r="D183" i="1"/>
  <c r="D182" i="1"/>
  <c r="D179" i="1"/>
  <c r="D178" i="1"/>
  <c r="D177" i="1"/>
  <c r="D176" i="1"/>
  <c r="E175" i="1" s="1"/>
  <c r="D174" i="1"/>
  <c r="D168" i="1"/>
  <c r="E168" i="1" s="1"/>
  <c r="D162" i="1"/>
  <c r="D161" i="1"/>
  <c r="D160" i="1"/>
  <c r="D159" i="1"/>
  <c r="D158" i="1"/>
  <c r="E161" i="1" s="1"/>
  <c r="D154" i="1"/>
  <c r="E153" i="1" s="1"/>
  <c r="D153" i="1"/>
  <c r="D152" i="1"/>
  <c r="D151" i="1"/>
  <c r="D150" i="1"/>
  <c r="D146" i="1"/>
  <c r="D144" i="1"/>
  <c r="D143" i="1"/>
  <c r="E145" i="1" s="1"/>
  <c r="D138" i="1"/>
  <c r="D137" i="1"/>
  <c r="D136" i="1"/>
  <c r="E137" i="1" s="1"/>
  <c r="D130" i="1"/>
  <c r="E132" i="1" s="1"/>
  <c r="E126" i="1"/>
  <c r="D125" i="1"/>
  <c r="E120" i="1"/>
  <c r="D119" i="1"/>
  <c r="D115" i="1"/>
  <c r="D114" i="1"/>
  <c r="D113" i="1"/>
  <c r="D112" i="1"/>
  <c r="E114" i="1" s="1"/>
  <c r="D106" i="1"/>
  <c r="D105" i="1"/>
  <c r="D104" i="1"/>
  <c r="D103" i="1"/>
  <c r="E106" i="1" s="1"/>
  <c r="I23" i="1" s="1"/>
  <c r="J23" i="1" s="1"/>
  <c r="E100" i="1"/>
  <c r="E95" i="1"/>
  <c r="D94" i="1"/>
  <c r="E89" i="1"/>
  <c r="D89" i="1"/>
  <c r="D88" i="1"/>
  <c r="D87" i="1"/>
  <c r="D81" i="1"/>
  <c r="D80" i="1"/>
  <c r="D79" i="1"/>
  <c r="E81" i="1" s="1"/>
  <c r="I22" i="1" s="1"/>
  <c r="J22" i="1" s="1"/>
  <c r="E74" i="1"/>
  <c r="D68" i="1"/>
  <c r="D67" i="1"/>
  <c r="D66" i="1"/>
  <c r="D65" i="1"/>
  <c r="E68" i="1" s="1"/>
  <c r="E61" i="1"/>
  <c r="I21" i="1" s="1"/>
  <c r="J21" i="1" s="1"/>
  <c r="D61" i="1"/>
  <c r="D60" i="1"/>
  <c r="D59" i="1"/>
  <c r="D58" i="1"/>
  <c r="D54" i="1"/>
  <c r="D52" i="1"/>
  <c r="D51" i="1"/>
  <c r="D50" i="1"/>
  <c r="D49" i="1"/>
  <c r="E53" i="1" s="1"/>
  <c r="E46" i="1"/>
  <c r="I19" i="1" s="1"/>
  <c r="J19" i="1" s="1"/>
  <c r="D38" i="1"/>
  <c r="E39" i="1" s="1"/>
  <c r="D34" i="1"/>
  <c r="D33" i="1"/>
  <c r="E34" i="1" s="1"/>
  <c r="I18" i="1" s="1"/>
  <c r="J18" i="1" s="1"/>
  <c r="D29" i="1"/>
  <c r="D28" i="1"/>
  <c r="E27" i="1" s="1"/>
  <c r="D27" i="1"/>
  <c r="D26" i="1"/>
  <c r="D25" i="1"/>
  <c r="H24" i="1"/>
  <c r="H23" i="1"/>
  <c r="D21" i="1"/>
  <c r="O20" i="1"/>
  <c r="D20" i="1"/>
  <c r="E20" i="1" s="1"/>
  <c r="H19" i="1"/>
  <c r="D19" i="1"/>
  <c r="D18" i="1"/>
  <c r="H17" i="1"/>
  <c r="H16" i="1"/>
  <c r="H15" i="1"/>
  <c r="J14" i="1"/>
  <c r="H14" i="1"/>
  <c r="D14" i="1"/>
  <c r="D13" i="1"/>
  <c r="D12" i="1"/>
  <c r="I11" i="1"/>
  <c r="H18" i="1" s="1"/>
  <c r="D11" i="1"/>
  <c r="I10" i="1"/>
  <c r="O21" i="1" s="1"/>
  <c r="D10" i="1"/>
  <c r="E12" i="1" s="1"/>
  <c r="I16" i="1" s="1"/>
  <c r="J16" i="1" s="1"/>
  <c r="H6" i="1"/>
  <c r="I6" i="1" s="1"/>
  <c r="D6" i="1"/>
  <c r="H5" i="1"/>
  <c r="I5" i="1" s="1"/>
  <c r="D5" i="1"/>
  <c r="H4" i="1"/>
  <c r="I4" i="1" s="1"/>
  <c r="D4" i="1"/>
  <c r="H3" i="1"/>
  <c r="I3" i="1" s="1"/>
  <c r="D3" i="1"/>
  <c r="H2" i="1"/>
  <c r="I2" i="1" s="1"/>
  <c r="D2" i="1"/>
  <c r="E4" i="1" s="1"/>
  <c r="I15" i="1" l="1"/>
  <c r="J15" i="1" s="1"/>
  <c r="I49" i="1"/>
  <c r="I17" i="1"/>
  <c r="J17" i="1" s="1"/>
  <c r="J25" i="1" s="1"/>
  <c r="I24" i="1"/>
  <c r="J24" i="1" s="1"/>
  <c r="H9" i="1"/>
  <c r="I9" i="1" s="1"/>
  <c r="P21" i="1" s="1"/>
  <c r="Q21" i="1" s="1"/>
  <c r="H21" i="1"/>
  <c r="H25" i="1" s="1"/>
  <c r="H22" i="1"/>
  <c r="H7" i="1"/>
  <c r="I7" i="1" s="1"/>
  <c r="O22" i="1"/>
  <c r="H8" i="1" l="1"/>
  <c r="I8" i="1" s="1"/>
  <c r="P20" i="1"/>
  <c r="P22" i="1" l="1"/>
  <c r="Q20" i="1"/>
  <c r="Q22" i="1" s="1"/>
</calcChain>
</file>

<file path=xl/sharedStrings.xml><?xml version="1.0" encoding="utf-8"?>
<sst xmlns="http://schemas.openxmlformats.org/spreadsheetml/2006/main" count="144" uniqueCount="50">
  <si>
    <t>Name</t>
  </si>
  <si>
    <t>Total Hours</t>
  </si>
  <si>
    <t>$</t>
  </si>
  <si>
    <t>$/hr</t>
  </si>
  <si>
    <t>DT</t>
  </si>
  <si>
    <t>Dave</t>
  </si>
  <si>
    <t>AA</t>
  </si>
  <si>
    <t>Athaxes</t>
  </si>
  <si>
    <t>RS</t>
  </si>
  <si>
    <t>Hasnain</t>
  </si>
  <si>
    <t>HA</t>
  </si>
  <si>
    <t>Brian</t>
  </si>
  <si>
    <t>BZ</t>
  </si>
  <si>
    <t>Ryan</t>
  </si>
  <si>
    <t>Total</t>
  </si>
  <si>
    <t>PDR Actual</t>
  </si>
  <si>
    <t>CDR Actual</t>
  </si>
  <si>
    <t>CDR Estimated</t>
  </si>
  <si>
    <t>PDR Estimated</t>
  </si>
  <si>
    <t>Estimated Cost</t>
  </si>
  <si>
    <t>Actual Cost</t>
  </si>
  <si>
    <t>Week 1</t>
  </si>
  <si>
    <t>Week 2</t>
  </si>
  <si>
    <t>Week 3</t>
  </si>
  <si>
    <t>Week 4</t>
  </si>
  <si>
    <t>Week 5</t>
  </si>
  <si>
    <t>Week 6</t>
  </si>
  <si>
    <t>Estimated</t>
  </si>
  <si>
    <t>Actual</t>
  </si>
  <si>
    <t>Profit</t>
  </si>
  <si>
    <t>PDR ENDS AND CDR BEGINS</t>
  </si>
  <si>
    <t>PDR</t>
  </si>
  <si>
    <t>Week 7</t>
  </si>
  <si>
    <t>CDR</t>
  </si>
  <si>
    <t>Week 8</t>
  </si>
  <si>
    <t>Week 9</t>
  </si>
  <si>
    <t>Week 10</t>
  </si>
  <si>
    <t>Job Category</t>
  </si>
  <si>
    <t>Cost</t>
  </si>
  <si>
    <t>Total CDR Hours</t>
  </si>
  <si>
    <t>Firmware</t>
  </si>
  <si>
    <t>Software</t>
  </si>
  <si>
    <t>Algorithm Dev.</t>
  </si>
  <si>
    <t>GUI</t>
  </si>
  <si>
    <t>Business</t>
  </si>
  <si>
    <t>PDR Week Starts</t>
  </si>
  <si>
    <t>NCNS</t>
  </si>
  <si>
    <t>PDR Week Ends</t>
  </si>
  <si>
    <t/>
  </si>
  <si>
    <t>-Remodeling of the gui from tabs to using a menu bar and dialog box (in Progress)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</si>
</sst>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dd\ mmmm\ d"/>
    <numFmt numFmtId="165" formatCode="&quot;$&quot;#,##0"/>
    <numFmt numFmtId="166" formatCode="mmmm&quot; &quot;d"/>
    <numFmt numFmtId="167" formatCode="_(&quot;$&quot;* #,##0_);_(&quot;$&quot;* \(#,##0\);_(&quot;$&quot;* &quot;-&quot;??_);_(@_)"/>
  </numFmts>
  <fonts count="5" x14ac:knownFonts="1">
    <font>
      <sz val="11"/>
      <color theme="1"/>
      <name val="Arial"/>
    </font>
    <font>
      <sz val="12"/>
      <color theme="1"/>
      <name val="Calibri"/>
    </font>
    <font>
      <b/>
      <sz val="12"/>
      <color theme="1"/>
      <name val="Calibri"/>
    </font>
    <font>
      <sz val="11"/>
      <color theme="1"/>
      <name val="Calibri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73">
    <xf numFmtId="0" fontId="0" fillId="0" borderId="0" xfId="0" applyFont="1" applyAlignment="1"/>
    <xf numFmtId="16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1" fillId="0" borderId="5" xfId="0" applyFont="1" applyBorder="1" applyAlignment="1">
      <alignment vertical="center"/>
    </xf>
    <xf numFmtId="18" fontId="1" fillId="0" borderId="0" xfId="0" applyNumberFormat="1" applyFont="1" applyAlignment="1">
      <alignment vertical="center"/>
    </xf>
    <xf numFmtId="2" fontId="1" fillId="0" borderId="6" xfId="0" applyNumberFormat="1" applyFont="1" applyBorder="1" applyAlignment="1">
      <alignment vertical="center"/>
    </xf>
    <xf numFmtId="4" fontId="1" fillId="0" borderId="6" xfId="0" applyNumberFormat="1" applyFont="1" applyBorder="1" applyAlignment="1">
      <alignment vertical="center"/>
    </xf>
    <xf numFmtId="165" fontId="1" fillId="0" borderId="7" xfId="0" applyNumberFormat="1" applyFont="1" applyBorder="1" applyAlignment="1">
      <alignment vertical="center"/>
    </xf>
    <xf numFmtId="2" fontId="2" fillId="0" borderId="8" xfId="0" applyNumberFormat="1" applyFont="1" applyBorder="1" applyAlignment="1">
      <alignment vertical="center"/>
    </xf>
    <xf numFmtId="0" fontId="1" fillId="0" borderId="0" xfId="0" applyFont="1" applyAlignment="1"/>
    <xf numFmtId="166" fontId="1" fillId="0" borderId="0" xfId="0" applyNumberFormat="1" applyFont="1"/>
    <xf numFmtId="0" fontId="1" fillId="0" borderId="6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4" fontId="2" fillId="0" borderId="10" xfId="0" applyNumberFormat="1" applyFont="1" applyBorder="1" applyAlignment="1">
      <alignment vertical="center"/>
    </xf>
    <xf numFmtId="165" fontId="2" fillId="0" borderId="11" xfId="0" applyNumberFormat="1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2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2" fontId="1" fillId="0" borderId="0" xfId="0" applyNumberFormat="1" applyFont="1" applyAlignment="1"/>
    <xf numFmtId="165" fontId="1" fillId="0" borderId="0" xfId="0" applyNumberFormat="1" applyFont="1"/>
    <xf numFmtId="2" fontId="2" fillId="0" borderId="13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3" fillId="2" borderId="0" xfId="0" applyFont="1" applyFill="1" applyAlignment="1"/>
    <xf numFmtId="0" fontId="3" fillId="2" borderId="0" xfId="0" applyFont="1" applyFill="1"/>
    <xf numFmtId="165" fontId="3" fillId="2" borderId="0" xfId="0" applyNumberFormat="1" applyFont="1" applyFill="1"/>
    <xf numFmtId="167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vertical="center"/>
    </xf>
    <xf numFmtId="20" fontId="1" fillId="0" borderId="0" xfId="0" applyNumberFormat="1" applyFont="1" applyAlignment="1">
      <alignment vertical="center"/>
    </xf>
    <xf numFmtId="0" fontId="4" fillId="0" borderId="14" xfId="0" applyFont="1" applyBorder="1" applyAlignment="1">
      <alignment vertical="center"/>
    </xf>
    <xf numFmtId="0" fontId="4" fillId="3" borderId="0" xfId="0" applyFont="1" applyFill="1" applyAlignment="1">
      <alignment vertical="center"/>
    </xf>
    <xf numFmtId="0" fontId="4" fillId="0" borderId="14" xfId="0" applyFont="1" applyBorder="1" applyAlignment="1">
      <alignment vertical="center"/>
    </xf>
    <xf numFmtId="18" fontId="1" fillId="0" borderId="12" xfId="0" applyNumberFormat="1" applyFont="1" applyBorder="1" applyAlignment="1">
      <alignment vertical="center"/>
    </xf>
    <xf numFmtId="0" fontId="1" fillId="4" borderId="0" xfId="0" applyFont="1" applyFill="1" applyAlignment="1">
      <alignment vertical="center"/>
    </xf>
    <xf numFmtId="2" fontId="1" fillId="0" borderId="6" xfId="0" applyNumberFormat="1" applyFont="1" applyBorder="1" applyAlignment="1">
      <alignment horizontal="right" vertical="center"/>
    </xf>
    <xf numFmtId="2" fontId="2" fillId="0" borderId="13" xfId="0" applyNumberFormat="1" applyFont="1" applyBorder="1" applyAlignment="1">
      <alignment horizontal="right" vertical="center"/>
    </xf>
    <xf numFmtId="164" fontId="1" fillId="0" borderId="9" xfId="0" applyNumberFormat="1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center" vertical="center"/>
    </xf>
    <xf numFmtId="4" fontId="2" fillId="0" borderId="13" xfId="0" applyNumberFormat="1" applyFont="1" applyBorder="1" applyAlignment="1">
      <alignment vertical="center"/>
    </xf>
    <xf numFmtId="0" fontId="1" fillId="4" borderId="9" xfId="0" applyFont="1" applyFill="1" applyBorder="1" applyAlignment="1">
      <alignment vertical="center"/>
    </xf>
    <xf numFmtId="0" fontId="1" fillId="4" borderId="12" xfId="0" applyFont="1" applyFill="1" applyBorder="1" applyAlignment="1">
      <alignment vertical="center"/>
    </xf>
    <xf numFmtId="0" fontId="1" fillId="0" borderId="9" xfId="0" quotePrefix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2" fillId="0" borderId="9" xfId="0" quotePrefix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4" fontId="1" fillId="0" borderId="13" xfId="0" applyNumberFormat="1" applyFont="1" applyBorder="1" applyAlignment="1">
      <alignment vertical="center"/>
    </xf>
    <xf numFmtId="4" fontId="2" fillId="0" borderId="8" xfId="0" applyNumberFormat="1" applyFont="1" applyBorder="1" applyAlignment="1">
      <alignment vertical="center"/>
    </xf>
    <xf numFmtId="4" fontId="1" fillId="0" borderId="16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8" fontId="1" fillId="0" borderId="0" xfId="0" applyNumberFormat="1" applyFont="1" applyAlignment="1">
      <alignment vertical="center"/>
    </xf>
    <xf numFmtId="0" fontId="1" fillId="0" borderId="9" xfId="0" applyFont="1" applyBorder="1" applyAlignment="1">
      <alignment vertical="center"/>
    </xf>
    <xf numFmtId="18" fontId="1" fillId="0" borderId="12" xfId="0" applyNumberFormat="1" applyFont="1" applyBorder="1" applyAlignment="1">
      <alignment vertical="center"/>
    </xf>
    <xf numFmtId="18" fontId="4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4" fontId="4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3600" b="0">
                <a:solidFill>
                  <a:srgbClr val="757575"/>
                </a:solidFill>
                <a:latin typeface="+mn-lt"/>
              </a:defRPr>
            </a:pPr>
            <a:r>
              <a:rPr sz="3600" b="0">
                <a:solidFill>
                  <a:srgbClr val="757575"/>
                </a:solidFill>
                <a:latin typeface="+mn-lt"/>
              </a:rPr>
              <a:t>Project Cost Analysis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'Individual Tracking'!$O$19</c:f>
              <c:strCache>
                <c:ptCount val="1"/>
                <c:pt idx="0">
                  <c:v>Estimated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'Individual Tracking'!$N$20:$N$21</c:f>
              <c:strCache>
                <c:ptCount val="2"/>
                <c:pt idx="0">
                  <c:v>PDR</c:v>
                </c:pt>
                <c:pt idx="1">
                  <c:v>CDR</c:v>
                </c:pt>
              </c:strCache>
            </c:strRef>
          </c:cat>
          <c:val>
            <c:numRef>
              <c:f>'Individual Tracking'!$O$20:$O$21</c:f>
              <c:numCache>
                <c:formatCode>_("$"* #,##0_);_("$"* \(#,##0\);_("$"* "-"??_);_(@_)</c:formatCode>
                <c:ptCount val="2"/>
                <c:pt idx="0">
                  <c:v>3000</c:v>
                </c:pt>
                <c:pt idx="1">
                  <c:v>15000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47D-4962-9C60-61593CD952FC}"/>
            </c:ext>
          </c:extLst>
        </c:ser>
        <c:ser>
          <c:idx val="1"/>
          <c:order val="1"/>
          <c:tx>
            <c:strRef>
              <c:f>'Individual Tracking'!$P$19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'Individual Tracking'!$N$20:$N$21</c:f>
              <c:strCache>
                <c:ptCount val="2"/>
                <c:pt idx="0">
                  <c:v>PDR</c:v>
                </c:pt>
                <c:pt idx="1">
                  <c:v>CDR</c:v>
                </c:pt>
              </c:strCache>
            </c:strRef>
          </c:cat>
          <c:val>
            <c:numRef>
              <c:f>'Individual Tracking'!$P$20:$P$21</c:f>
              <c:numCache>
                <c:formatCode>_("$"* #,##0_);_("$"* \(#,##0\);_("$"* "-"??_);_(@_)</c:formatCode>
                <c:ptCount val="2"/>
                <c:pt idx="0">
                  <c:v>2449.9999999999991</c:v>
                </c:pt>
                <c:pt idx="1">
                  <c:v>10325.000000000002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47D-4962-9C60-61593CD952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4899429"/>
        <c:axId val="1646134888"/>
      </c:barChart>
      <c:catAx>
        <c:axId val="2448994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46134888"/>
        <c:crosses val="autoZero"/>
        <c:auto val="1"/>
        <c:lblAlgn val="ctr"/>
        <c:lblOffset val="100"/>
        <c:noMultiLvlLbl val="1"/>
      </c:catAx>
      <c:valAx>
        <c:axId val="16461348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4489942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  <a:endParaRPr lang="en-US"/>
        </a:p>
      </c:txPr>
    </c:legend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533031782" name="Chart 1" title="Chart">
          <a:extLst>
            <a:ext uri="{FF2B5EF4-FFF2-40B4-BE49-F238E27FC236}">
              <a16:creationId xmlns:a16="http://schemas.microsoft.com/office/drawing/2014/main" id="{00000000-0008-0000-0100-0000666BC5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87"/>
  <sheetViews>
    <sheetView tabSelected="1" workbookViewId="0"/>
  </sheetViews>
  <sheetFormatPr defaultColWidth="12.625" defaultRowHeight="15" customHeight="1" x14ac:dyDescent="0.2"/>
  <cols>
    <col min="1" max="1" width="18.875" customWidth="1"/>
    <col min="7" max="7" width="14.375" customWidth="1"/>
    <col min="8" max="8" width="13.625" customWidth="1"/>
    <col min="10" max="10" width="10.125" customWidth="1"/>
    <col min="11" max="11" width="19.25" customWidth="1"/>
    <col min="12" max="12" width="10.375" customWidth="1"/>
    <col min="14" max="14" width="13" customWidth="1"/>
  </cols>
  <sheetData>
    <row r="1" spans="1:27" ht="15" customHeight="1" x14ac:dyDescent="0.25">
      <c r="A1" s="1">
        <v>44269</v>
      </c>
      <c r="B1" s="2"/>
      <c r="C1" s="2"/>
      <c r="D1" s="3"/>
      <c r="E1" s="4"/>
      <c r="F1" s="4"/>
      <c r="G1" s="5" t="s">
        <v>0</v>
      </c>
      <c r="H1" s="6" t="s">
        <v>1</v>
      </c>
      <c r="I1" s="7" t="s">
        <v>2</v>
      </c>
      <c r="J1" s="8"/>
      <c r="K1" s="8"/>
      <c r="L1" s="9" t="s">
        <v>3</v>
      </c>
      <c r="M1" s="10">
        <v>100</v>
      </c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 ht="15" customHeight="1" x14ac:dyDescent="0.2">
      <c r="A2" s="11" t="s">
        <v>4</v>
      </c>
      <c r="B2" s="12">
        <v>0.58333333333333337</v>
      </c>
      <c r="C2" s="12">
        <v>0.60416666666666663</v>
      </c>
      <c r="D2" s="13">
        <f t="shared" ref="D2:D6" si="0">(C2-B2)*24</f>
        <v>0.49999999999999822</v>
      </c>
      <c r="E2" s="4"/>
      <c r="F2" s="4"/>
      <c r="G2" s="11" t="s">
        <v>5</v>
      </c>
      <c r="H2" s="14">
        <f>SUMIF(A:A,"DT",D:D)</f>
        <v>44.75</v>
      </c>
      <c r="I2" s="15">
        <f t="shared" ref="I2:I9" si="1">H2*M$1</f>
        <v>4475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 ht="15" customHeight="1" x14ac:dyDescent="0.2">
      <c r="A3" s="11" t="s">
        <v>6</v>
      </c>
      <c r="B3" s="12">
        <v>0.58333333333333337</v>
      </c>
      <c r="C3" s="12">
        <v>0.60416666666666663</v>
      </c>
      <c r="D3" s="13">
        <f t="shared" si="0"/>
        <v>0.49999999999999822</v>
      </c>
      <c r="E3" s="4"/>
      <c r="F3" s="4"/>
      <c r="G3" s="11" t="s">
        <v>7</v>
      </c>
      <c r="H3" s="14">
        <f>SUMIF(A:A,"AA",D:D)</f>
        <v>32.5</v>
      </c>
      <c r="I3" s="15">
        <f t="shared" si="1"/>
        <v>3250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 ht="15" customHeight="1" x14ac:dyDescent="0.2">
      <c r="A4" s="11" t="s">
        <v>8</v>
      </c>
      <c r="B4" s="12">
        <v>0.58333333333333337</v>
      </c>
      <c r="C4" s="12">
        <v>0.60416666666666663</v>
      </c>
      <c r="D4" s="13">
        <f t="shared" si="0"/>
        <v>0.49999999999999822</v>
      </c>
      <c r="E4" s="16">
        <f>SUM(D2:D7)</f>
        <v>2.4999999999999911</v>
      </c>
      <c r="F4" s="4"/>
      <c r="G4" s="11" t="s">
        <v>9</v>
      </c>
      <c r="H4" s="14">
        <f>SUMIF(A:A,"HA",D:D)</f>
        <v>3.2499999999999991</v>
      </c>
      <c r="I4" s="15">
        <f t="shared" si="1"/>
        <v>324.99999999999989</v>
      </c>
      <c r="J4" s="4"/>
      <c r="K4" s="4"/>
      <c r="L4" s="4"/>
      <c r="M4" s="4"/>
      <c r="N4" s="4"/>
      <c r="O4" s="4"/>
      <c r="P4" s="9"/>
      <c r="Q4" s="9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 ht="15" customHeight="1" x14ac:dyDescent="0.25">
      <c r="A5" s="11" t="s">
        <v>10</v>
      </c>
      <c r="B5" s="12">
        <v>0.58333333333333337</v>
      </c>
      <c r="C5" s="12">
        <v>0.60416666666666663</v>
      </c>
      <c r="D5" s="13">
        <f t="shared" si="0"/>
        <v>0.49999999999999822</v>
      </c>
      <c r="E5" s="4"/>
      <c r="F5" s="4"/>
      <c r="G5" s="11" t="s">
        <v>11</v>
      </c>
      <c r="H5" s="14">
        <f>SUMIF(A:A,"BZ",D:D)</f>
        <v>18.25</v>
      </c>
      <c r="I5" s="15">
        <f t="shared" si="1"/>
        <v>1825</v>
      </c>
      <c r="J5" s="4"/>
      <c r="K5" s="4"/>
      <c r="L5" s="4"/>
      <c r="M5" s="4"/>
      <c r="N5" s="4"/>
      <c r="O5" s="17"/>
      <c r="P5" s="18"/>
      <c r="Q5" s="18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ht="15" customHeight="1" x14ac:dyDescent="0.25">
      <c r="A6" s="11" t="s">
        <v>12</v>
      </c>
      <c r="B6" s="12">
        <v>0.58333333333333337</v>
      </c>
      <c r="C6" s="12">
        <v>0.60416666666666663</v>
      </c>
      <c r="D6" s="13">
        <f t="shared" si="0"/>
        <v>0.49999999999999822</v>
      </c>
      <c r="E6" s="4"/>
      <c r="F6" s="4"/>
      <c r="G6" s="11" t="s">
        <v>13</v>
      </c>
      <c r="H6" s="14">
        <f>SUMIF(A:A,"RS",D:D)</f>
        <v>29</v>
      </c>
      <c r="I6" s="15">
        <f t="shared" si="1"/>
        <v>2900</v>
      </c>
      <c r="J6" s="4"/>
      <c r="K6" s="4"/>
      <c r="L6" s="4"/>
      <c r="M6" s="4"/>
      <c r="N6" s="4"/>
      <c r="O6" s="9"/>
      <c r="P6" s="18"/>
      <c r="Q6" s="18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ht="15" customHeight="1" x14ac:dyDescent="0.25">
      <c r="A7" s="11"/>
      <c r="B7" s="4"/>
      <c r="C7" s="4"/>
      <c r="D7" s="19"/>
      <c r="E7" s="4"/>
      <c r="F7" s="4"/>
      <c r="G7" s="20" t="s">
        <v>14</v>
      </c>
      <c r="H7" s="21">
        <f>SUM(H2:H6)</f>
        <v>127.75</v>
      </c>
      <c r="I7" s="22">
        <f t="shared" si="1"/>
        <v>12775</v>
      </c>
      <c r="J7" s="4"/>
      <c r="K7" s="4"/>
      <c r="L7" s="9"/>
      <c r="M7" s="4"/>
      <c r="N7" s="4"/>
      <c r="O7" s="17"/>
      <c r="P7" s="18"/>
      <c r="Q7" s="18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 ht="15" customHeight="1" x14ac:dyDescent="0.25">
      <c r="A8" s="23"/>
      <c r="B8" s="24"/>
      <c r="C8" s="24"/>
      <c r="D8" s="4"/>
      <c r="E8" s="4"/>
      <c r="F8" s="4"/>
      <c r="G8" s="9" t="s">
        <v>15</v>
      </c>
      <c r="H8" s="25">
        <f>I49</f>
        <v>24.499999999999989</v>
      </c>
      <c r="I8" s="26">
        <f t="shared" si="1"/>
        <v>2449.9999999999991</v>
      </c>
      <c r="J8" s="4"/>
      <c r="K8" s="4"/>
      <c r="L8" s="4"/>
      <c r="M8" s="4"/>
      <c r="N8" s="4"/>
      <c r="O8" s="9"/>
      <c r="P8" s="18"/>
      <c r="Q8" s="18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 ht="15" customHeight="1" x14ac:dyDescent="0.25">
      <c r="A9" s="1">
        <v>44274</v>
      </c>
      <c r="B9" s="2"/>
      <c r="C9" s="2"/>
      <c r="D9" s="3"/>
      <c r="E9" s="4"/>
      <c r="F9" s="4"/>
      <c r="G9" s="27" t="s">
        <v>16</v>
      </c>
      <c r="H9" s="28">
        <f>SUM(E61:E207)</f>
        <v>103.25000000000001</v>
      </c>
      <c r="I9" s="29">
        <f t="shared" si="1"/>
        <v>10325.000000000002</v>
      </c>
      <c r="J9" s="4"/>
      <c r="K9" s="4"/>
      <c r="L9" s="4"/>
      <c r="M9" s="4"/>
      <c r="N9" s="4"/>
      <c r="O9" s="17"/>
      <c r="P9" s="18"/>
      <c r="Q9" s="18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ht="15" customHeight="1" x14ac:dyDescent="0.25">
      <c r="A10" s="11" t="s">
        <v>4</v>
      </c>
      <c r="B10" s="12">
        <v>0.45833333333333331</v>
      </c>
      <c r="C10" s="12">
        <v>0.5</v>
      </c>
      <c r="D10" s="13">
        <f t="shared" ref="D10:D14" si="2">(C10-B10)*24</f>
        <v>1.0000000000000004</v>
      </c>
      <c r="E10" s="4"/>
      <c r="F10" s="4"/>
      <c r="G10" s="4" t="s">
        <v>17</v>
      </c>
      <c r="H10" s="30">
        <v>150</v>
      </c>
      <c r="I10" s="31">
        <f>H10*M1</f>
        <v>15000</v>
      </c>
      <c r="J10" s="4"/>
      <c r="K10" s="4"/>
      <c r="L10" s="4"/>
      <c r="M10" s="4"/>
      <c r="N10" s="4"/>
      <c r="O10" s="9"/>
      <c r="P10" s="18"/>
      <c r="Q10" s="18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 ht="15.75" x14ac:dyDescent="0.25">
      <c r="A11" s="11" t="s">
        <v>6</v>
      </c>
      <c r="B11" s="12">
        <v>0.45833333333333331</v>
      </c>
      <c r="C11" s="12">
        <v>0.5</v>
      </c>
      <c r="D11" s="13">
        <f t="shared" si="2"/>
        <v>1.0000000000000004</v>
      </c>
      <c r="E11" s="4"/>
      <c r="F11" s="4"/>
      <c r="G11" s="17" t="s">
        <v>18</v>
      </c>
      <c r="H11" s="32">
        <v>30</v>
      </c>
      <c r="I11" s="33">
        <f>H11*M$1</f>
        <v>3000</v>
      </c>
      <c r="J11" s="4"/>
      <c r="K11" s="4"/>
      <c r="L11" s="4"/>
      <c r="M11" s="4"/>
      <c r="N11" s="4"/>
      <c r="O11" s="17"/>
      <c r="P11" s="18"/>
      <c r="Q11" s="18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 ht="15.75" x14ac:dyDescent="0.25">
      <c r="A12" s="11" t="s">
        <v>8</v>
      </c>
      <c r="B12" s="12">
        <v>0.45833333333333331</v>
      </c>
      <c r="C12" s="12">
        <v>0.5</v>
      </c>
      <c r="D12" s="13">
        <f t="shared" si="2"/>
        <v>1.0000000000000004</v>
      </c>
      <c r="E12" s="34">
        <f>SUM(D10:D15)</f>
        <v>5.0000000000000018</v>
      </c>
      <c r="F12" s="4"/>
      <c r="J12" s="4"/>
      <c r="K12" s="4"/>
      <c r="L12" s="4"/>
      <c r="M12" s="4"/>
      <c r="N12" s="4"/>
      <c r="O12" s="9"/>
      <c r="P12" s="18"/>
      <c r="Q12" s="18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11" t="s">
        <v>10</v>
      </c>
      <c r="B13" s="12">
        <v>0.45833333333333331</v>
      </c>
      <c r="C13" s="12">
        <v>0.5</v>
      </c>
      <c r="D13" s="13">
        <f t="shared" si="2"/>
        <v>1.0000000000000004</v>
      </c>
      <c r="E13" s="4"/>
      <c r="F13" s="4"/>
      <c r="G13" s="8"/>
      <c r="H13" s="17" t="s">
        <v>19</v>
      </c>
      <c r="I13" s="17" t="s">
        <v>20</v>
      </c>
      <c r="J13" s="17"/>
      <c r="K13" s="17"/>
      <c r="L13" s="17"/>
      <c r="M13" s="4"/>
      <c r="N13" s="4"/>
      <c r="O13" s="17"/>
      <c r="P13" s="18"/>
      <c r="Q13" s="18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11" t="s">
        <v>12</v>
      </c>
      <c r="B14" s="12">
        <v>0.45833333333333331</v>
      </c>
      <c r="C14" s="12">
        <v>0.5</v>
      </c>
      <c r="D14" s="13">
        <f t="shared" si="2"/>
        <v>1.0000000000000004</v>
      </c>
      <c r="E14" s="4"/>
      <c r="F14" s="4"/>
      <c r="G14" s="17" t="s">
        <v>21</v>
      </c>
      <c r="H14" s="26">
        <f t="shared" ref="H14:H19" si="3">($I$11)/6</f>
        <v>500</v>
      </c>
      <c r="I14" s="30">
        <v>0</v>
      </c>
      <c r="J14" s="31">
        <f t="shared" ref="J14:J19" si="4">I14*$M$1</f>
        <v>0</v>
      </c>
      <c r="K14" s="4"/>
      <c r="L14" s="4"/>
      <c r="M14" s="4"/>
      <c r="N14" s="4"/>
      <c r="O14" s="9"/>
      <c r="P14" s="18"/>
      <c r="Q14" s="18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11"/>
      <c r="B15" s="4"/>
      <c r="C15" s="4"/>
      <c r="D15" s="19"/>
      <c r="E15" s="4"/>
      <c r="F15" s="4"/>
      <c r="G15" s="9" t="s">
        <v>22</v>
      </c>
      <c r="H15" s="26">
        <f t="shared" si="3"/>
        <v>500</v>
      </c>
      <c r="I15" s="10">
        <f>E4</f>
        <v>2.4999999999999911</v>
      </c>
      <c r="J15" s="31">
        <f t="shared" si="4"/>
        <v>249.99999999999912</v>
      </c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23"/>
      <c r="B16" s="24"/>
      <c r="C16" s="24"/>
      <c r="D16" s="4"/>
      <c r="E16" s="4"/>
      <c r="F16" s="4"/>
      <c r="G16" s="17" t="s">
        <v>23</v>
      </c>
      <c r="H16" s="26">
        <f t="shared" si="3"/>
        <v>500</v>
      </c>
      <c r="I16" s="10">
        <f>E12</f>
        <v>5.0000000000000018</v>
      </c>
      <c r="J16" s="31">
        <f t="shared" si="4"/>
        <v>500.00000000000017</v>
      </c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15" customHeight="1" x14ac:dyDescent="0.2">
      <c r="A17" s="35">
        <v>44279</v>
      </c>
      <c r="B17" s="2"/>
      <c r="C17" s="2"/>
      <c r="D17" s="3"/>
      <c r="E17" s="4"/>
      <c r="F17" s="4"/>
      <c r="G17" s="9" t="s">
        <v>24</v>
      </c>
      <c r="H17" s="26">
        <f t="shared" si="3"/>
        <v>500</v>
      </c>
      <c r="I17" s="10">
        <f>SUM(E20,E27)</f>
        <v>6.75</v>
      </c>
      <c r="J17" s="31">
        <f t="shared" si="4"/>
        <v>675</v>
      </c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15" customHeight="1" x14ac:dyDescent="0.25">
      <c r="A18" s="11" t="s">
        <v>4</v>
      </c>
      <c r="B18" s="12">
        <v>0.42708333333333331</v>
      </c>
      <c r="C18" s="12">
        <v>0.45833333333333331</v>
      </c>
      <c r="D18" s="13">
        <f t="shared" ref="D18:D21" si="5">(C18-B18)*24</f>
        <v>0.75</v>
      </c>
      <c r="E18" s="4"/>
      <c r="F18" s="4"/>
      <c r="G18" s="17" t="s">
        <v>25</v>
      </c>
      <c r="H18" s="26">
        <f t="shared" si="3"/>
        <v>500</v>
      </c>
      <c r="I18" s="10">
        <f>SUM(E34,E39)</f>
        <v>2.4999999999999978</v>
      </c>
      <c r="J18" s="31">
        <f t="shared" si="4"/>
        <v>249.99999999999977</v>
      </c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11" t="s">
        <v>6</v>
      </c>
      <c r="B19" s="12">
        <v>0.42708333333333331</v>
      </c>
      <c r="C19" s="12">
        <v>0.45833333333333331</v>
      </c>
      <c r="D19" s="13">
        <f t="shared" si="5"/>
        <v>0.75</v>
      </c>
      <c r="E19" s="4"/>
      <c r="F19" s="4"/>
      <c r="G19" s="9" t="s">
        <v>26</v>
      </c>
      <c r="H19" s="26">
        <f t="shared" si="3"/>
        <v>500</v>
      </c>
      <c r="I19" s="10">
        <f>SUM(E46,E53)</f>
        <v>7.7499999999999973</v>
      </c>
      <c r="J19" s="31">
        <f t="shared" si="4"/>
        <v>774.99999999999977</v>
      </c>
      <c r="K19" s="4"/>
      <c r="L19" s="4"/>
      <c r="M19" s="4"/>
      <c r="N19" s="4"/>
      <c r="O19" s="9" t="s">
        <v>27</v>
      </c>
      <c r="P19" s="9" t="s">
        <v>28</v>
      </c>
      <c r="Q19" s="9" t="s">
        <v>29</v>
      </c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11" t="s">
        <v>8</v>
      </c>
      <c r="B20" s="12">
        <v>0.42708333333333331</v>
      </c>
      <c r="C20" s="12">
        <v>0.45833333333333331</v>
      </c>
      <c r="D20" s="13">
        <f t="shared" si="5"/>
        <v>0.75</v>
      </c>
      <c r="E20" s="34">
        <f>SUM(D18:D22)</f>
        <v>3</v>
      </c>
      <c r="F20" s="4"/>
      <c r="G20" s="36" t="s">
        <v>30</v>
      </c>
      <c r="H20" s="37"/>
      <c r="I20" s="37"/>
      <c r="J20" s="38"/>
      <c r="K20" s="37"/>
      <c r="L20" s="4"/>
      <c r="M20" s="4"/>
      <c r="N20" s="9" t="s">
        <v>31</v>
      </c>
      <c r="O20" s="39">
        <f>I11</f>
        <v>3000</v>
      </c>
      <c r="P20" s="40">
        <f>I49*M1</f>
        <v>2449.9999999999991</v>
      </c>
      <c r="Q20" s="40">
        <f t="shared" ref="Q20:Q21" si="6">O20-P20</f>
        <v>550.00000000000091</v>
      </c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11" t="s">
        <v>12</v>
      </c>
      <c r="B21" s="12">
        <v>0.42708333333333331</v>
      </c>
      <c r="C21" s="12">
        <v>0.45833333333333331</v>
      </c>
      <c r="D21" s="13">
        <f t="shared" si="5"/>
        <v>0.75</v>
      </c>
      <c r="E21" s="4"/>
      <c r="F21" s="4"/>
      <c r="G21" s="17" t="s">
        <v>32</v>
      </c>
      <c r="H21" s="31">
        <f t="shared" ref="H21:H24" si="7">$I$10/4</f>
        <v>3750</v>
      </c>
      <c r="I21" s="10">
        <f>SUM(E61,E68)</f>
        <v>6.0000000000000053</v>
      </c>
      <c r="J21" s="31">
        <f t="shared" ref="J21:J24" si="8">I21*$M$1</f>
        <v>600.00000000000057</v>
      </c>
      <c r="K21" s="4"/>
      <c r="L21" s="4"/>
      <c r="M21" s="4"/>
      <c r="N21" s="9" t="s">
        <v>33</v>
      </c>
      <c r="O21" s="39">
        <f>I10</f>
        <v>15000</v>
      </c>
      <c r="P21" s="40">
        <f>I9</f>
        <v>10325.000000000002</v>
      </c>
      <c r="Q21" s="40">
        <f t="shared" si="6"/>
        <v>4674.9999999999982</v>
      </c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5" customHeight="1" x14ac:dyDescent="0.2">
      <c r="A22" s="11"/>
      <c r="B22" s="4"/>
      <c r="C22" s="4"/>
      <c r="D22" s="19"/>
      <c r="E22" s="4"/>
      <c r="F22" s="4"/>
      <c r="G22" s="9" t="s">
        <v>34</v>
      </c>
      <c r="H22" s="31">
        <f t="shared" si="7"/>
        <v>3750</v>
      </c>
      <c r="I22" s="10">
        <f>SUM(E81,E89,E95,E100)</f>
        <v>13.250000000000004</v>
      </c>
      <c r="J22" s="31">
        <f t="shared" si="8"/>
        <v>1325.0000000000005</v>
      </c>
      <c r="K22" s="4"/>
      <c r="L22" s="4"/>
      <c r="M22" s="4"/>
      <c r="N22" s="9" t="s">
        <v>14</v>
      </c>
      <c r="O22" s="40">
        <f t="shared" ref="O22:Q22" si="9">SUM(O20:O21)</f>
        <v>18000</v>
      </c>
      <c r="P22" s="40">
        <f t="shared" si="9"/>
        <v>12775</v>
      </c>
      <c r="Q22" s="40">
        <f t="shared" si="9"/>
        <v>5224.9999999999991</v>
      </c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15" customHeight="1" x14ac:dyDescent="0.25">
      <c r="A23" s="23"/>
      <c r="B23" s="24"/>
      <c r="C23" s="24"/>
      <c r="D23" s="4"/>
      <c r="E23" s="4"/>
      <c r="F23" s="4"/>
      <c r="G23" s="17" t="s">
        <v>35</v>
      </c>
      <c r="H23" s="31">
        <f t="shared" si="7"/>
        <v>3750</v>
      </c>
      <c r="I23" s="10">
        <f>SUM(E106,E114,E120,E126,E132)</f>
        <v>20.500000000000007</v>
      </c>
      <c r="J23" s="31">
        <f t="shared" si="8"/>
        <v>2050.0000000000009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5" customHeight="1" x14ac:dyDescent="0.2">
      <c r="A24" s="35">
        <v>44281</v>
      </c>
      <c r="B24" s="2"/>
      <c r="C24" s="2"/>
      <c r="D24" s="3"/>
      <c r="E24" s="4"/>
      <c r="F24" s="4"/>
      <c r="G24" s="9" t="s">
        <v>36</v>
      </c>
      <c r="H24" s="31">
        <f t="shared" si="7"/>
        <v>3750</v>
      </c>
      <c r="I24" s="10">
        <f>SUM(E137:E206)</f>
        <v>61.5</v>
      </c>
      <c r="J24" s="31">
        <f t="shared" si="8"/>
        <v>6150</v>
      </c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15" customHeight="1" x14ac:dyDescent="0.25">
      <c r="A25" s="11" t="s">
        <v>4</v>
      </c>
      <c r="B25" s="41">
        <v>0.46875</v>
      </c>
      <c r="C25" s="12">
        <v>0.5</v>
      </c>
      <c r="D25" s="13">
        <f t="shared" ref="D25:D29" si="10">(C25-B25)*24</f>
        <v>0.75</v>
      </c>
      <c r="E25" s="4"/>
      <c r="F25" s="4"/>
      <c r="G25" s="8"/>
      <c r="H25" s="26">
        <f>SUM(H14:H24)</f>
        <v>18000</v>
      </c>
      <c r="I25" s="10"/>
      <c r="J25" s="31">
        <f>SUM(J14:J24)</f>
        <v>12575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15" customHeight="1" x14ac:dyDescent="0.25">
      <c r="A26" s="11" t="s">
        <v>6</v>
      </c>
      <c r="B26" s="41">
        <v>0.46875</v>
      </c>
      <c r="C26" s="12">
        <v>0.5</v>
      </c>
      <c r="D26" s="13">
        <f t="shared" si="10"/>
        <v>0.75</v>
      </c>
      <c r="E26" s="4"/>
      <c r="F26" s="4"/>
      <c r="G26" s="8"/>
      <c r="H26" s="4"/>
      <c r="I26" s="4"/>
      <c r="J26" s="4"/>
      <c r="K26" s="4"/>
      <c r="L26" s="4"/>
      <c r="M26" s="4"/>
      <c r="N26" s="42" t="s">
        <v>37</v>
      </c>
      <c r="O26" s="42" t="s">
        <v>38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15" customHeight="1" x14ac:dyDescent="0.2">
      <c r="A27" s="11" t="s">
        <v>8</v>
      </c>
      <c r="B27" s="41">
        <v>0.46875</v>
      </c>
      <c r="C27" s="12">
        <v>0.5</v>
      </c>
      <c r="D27" s="13">
        <f t="shared" si="10"/>
        <v>0.75</v>
      </c>
      <c r="E27" s="34">
        <f>SUM(D25:D30)</f>
        <v>3.75</v>
      </c>
      <c r="F27" s="4"/>
      <c r="G27" s="43" t="s">
        <v>6</v>
      </c>
      <c r="H27" s="43" t="s">
        <v>39</v>
      </c>
      <c r="I27" s="43">
        <v>27.5</v>
      </c>
      <c r="J27" s="4"/>
      <c r="K27" s="4"/>
      <c r="L27" s="4"/>
      <c r="M27" s="4"/>
      <c r="N27" s="42" t="s">
        <v>40</v>
      </c>
      <c r="O27" s="4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5" customHeight="1" x14ac:dyDescent="0.2">
      <c r="A28" s="11" t="s">
        <v>12</v>
      </c>
      <c r="B28" s="41">
        <v>0.46875</v>
      </c>
      <c r="C28" s="12">
        <v>0.5</v>
      </c>
      <c r="D28" s="13">
        <f t="shared" si="10"/>
        <v>0.75</v>
      </c>
      <c r="E28" s="4"/>
      <c r="F28" s="4"/>
      <c r="G28" s="4"/>
      <c r="H28" s="4"/>
      <c r="I28" s="4"/>
      <c r="J28" s="4"/>
      <c r="K28" s="4"/>
      <c r="L28" s="4"/>
      <c r="M28" s="4"/>
      <c r="N28" s="42" t="s">
        <v>41</v>
      </c>
      <c r="O28" s="4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5" customHeight="1" x14ac:dyDescent="0.2">
      <c r="A29" s="11" t="s">
        <v>10</v>
      </c>
      <c r="B29" s="41">
        <v>0.46875</v>
      </c>
      <c r="C29" s="12">
        <v>0.5</v>
      </c>
      <c r="D29" s="13">
        <f t="shared" si="10"/>
        <v>0.75</v>
      </c>
      <c r="E29" s="4"/>
      <c r="F29" s="4"/>
      <c r="G29" s="4"/>
      <c r="H29" s="4"/>
      <c r="I29" s="4"/>
      <c r="J29" s="4"/>
      <c r="K29" s="4"/>
      <c r="L29" s="4"/>
      <c r="M29" s="4"/>
      <c r="N29" s="42" t="s">
        <v>42</v>
      </c>
      <c r="O29" s="4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5" customHeight="1" x14ac:dyDescent="0.2">
      <c r="A30" s="11"/>
      <c r="B30" s="4"/>
      <c r="C30" s="4"/>
      <c r="D30" s="19"/>
      <c r="E30" s="4"/>
      <c r="F30" s="4"/>
      <c r="G30" s="4"/>
      <c r="H30" s="4"/>
      <c r="I30" s="4"/>
      <c r="J30" s="4"/>
      <c r="K30" s="4"/>
      <c r="L30" s="4"/>
      <c r="M30" s="4"/>
      <c r="N30" s="42" t="s">
        <v>43</v>
      </c>
      <c r="O30" s="4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5" customHeight="1" x14ac:dyDescent="0.2">
      <c r="A31" s="23"/>
      <c r="B31" s="24"/>
      <c r="C31" s="24"/>
      <c r="D31" s="4"/>
      <c r="E31" s="4"/>
      <c r="F31" s="4"/>
      <c r="G31" s="4"/>
      <c r="H31" s="4"/>
      <c r="I31" s="4"/>
      <c r="J31" s="4"/>
      <c r="K31" s="4"/>
      <c r="L31" s="4"/>
      <c r="M31" s="4"/>
      <c r="N31" s="42" t="s">
        <v>44</v>
      </c>
      <c r="O31" s="4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5" customHeight="1" x14ac:dyDescent="0.2">
      <c r="A32" s="35">
        <v>44286</v>
      </c>
      <c r="B32" s="2"/>
      <c r="C32" s="2"/>
      <c r="D32" s="3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15" customHeight="1" x14ac:dyDescent="0.2">
      <c r="A33" s="11" t="s">
        <v>4</v>
      </c>
      <c r="B33" s="12">
        <v>0.41666666666666669</v>
      </c>
      <c r="C33" s="12">
        <v>0.45833333333333331</v>
      </c>
      <c r="D33" s="13">
        <f t="shared" ref="D33:D34" si="11">(C33-B33)*24</f>
        <v>0.99999999999999911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5" customHeight="1" x14ac:dyDescent="0.2">
      <c r="A34" s="11" t="s">
        <v>6</v>
      </c>
      <c r="B34" s="12">
        <v>0.41666666666666669</v>
      </c>
      <c r="C34" s="12">
        <v>0.45833333333333331</v>
      </c>
      <c r="D34" s="13">
        <f t="shared" si="11"/>
        <v>0.99999999999999911</v>
      </c>
      <c r="E34" s="34">
        <f>SUM(D33:D35)</f>
        <v>1.9999999999999982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5" customHeight="1" x14ac:dyDescent="0.2">
      <c r="A35" s="11"/>
      <c r="B35" s="12"/>
      <c r="C35" s="12"/>
      <c r="D35" s="19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5" customHeight="1" x14ac:dyDescent="0.2">
      <c r="A36" s="23"/>
      <c r="B36" s="45"/>
      <c r="C36" s="4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15" customHeight="1" x14ac:dyDescent="0.2">
      <c r="A37" s="35">
        <v>44290</v>
      </c>
      <c r="B37" s="2"/>
      <c r="C37" s="2"/>
      <c r="D37" s="3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15" customHeight="1" x14ac:dyDescent="0.2">
      <c r="A38" s="11" t="s">
        <v>4</v>
      </c>
      <c r="B38" s="12">
        <v>0.375</v>
      </c>
      <c r="C38" s="12">
        <v>0.39583333333333331</v>
      </c>
      <c r="D38" s="13">
        <f>(C38-B38)*24</f>
        <v>0.49999999999999956</v>
      </c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5" customHeight="1" x14ac:dyDescent="0.2">
      <c r="A39" s="11"/>
      <c r="B39" s="4"/>
      <c r="C39" s="4"/>
      <c r="D39" s="19"/>
      <c r="E39" s="34">
        <f>SUM(D38:D41)</f>
        <v>0.49999999999999956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15" customHeight="1" x14ac:dyDescent="0.2">
      <c r="A40" s="11"/>
      <c r="B40" s="4"/>
      <c r="C40" s="4"/>
      <c r="D40" s="19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15" customHeight="1" x14ac:dyDescent="0.2">
      <c r="A41" s="11"/>
      <c r="B41" s="4"/>
      <c r="C41" s="4"/>
      <c r="D41" s="19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5" customHeight="1" x14ac:dyDescent="0.2">
      <c r="A42" s="23"/>
      <c r="B42" s="24"/>
      <c r="C42" s="2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5" customHeight="1" x14ac:dyDescent="0.2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9" t="s">
        <v>45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5.75" x14ac:dyDescent="0.2">
      <c r="A44" s="35">
        <v>44291</v>
      </c>
      <c r="B44" s="2"/>
      <c r="C44" s="2"/>
      <c r="D44" s="3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5.75" x14ac:dyDescent="0.2">
      <c r="A45" s="11" t="s">
        <v>4</v>
      </c>
      <c r="B45" s="12">
        <v>0.41666666666666669</v>
      </c>
      <c r="C45" s="12">
        <v>0.45833333333333331</v>
      </c>
      <c r="D45" s="47">
        <v>1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15.75" x14ac:dyDescent="0.2">
      <c r="A46" s="11" t="s">
        <v>4</v>
      </c>
      <c r="B46" s="12">
        <v>0.89583333333333337</v>
      </c>
      <c r="C46" s="12">
        <v>0.95833333333333337</v>
      </c>
      <c r="D46" s="47">
        <v>1.5</v>
      </c>
      <c r="E46" s="48">
        <f>SUM(D45:D46)</f>
        <v>2.5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5.75" x14ac:dyDescent="0.2">
      <c r="A47" s="49"/>
      <c r="B47" s="50"/>
      <c r="C47" s="50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15.75" x14ac:dyDescent="0.2">
      <c r="A48" s="35">
        <v>44292</v>
      </c>
      <c r="B48" s="2"/>
      <c r="C48" s="2"/>
      <c r="D48" s="3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15.75" x14ac:dyDescent="0.2">
      <c r="A49" s="11" t="s">
        <v>6</v>
      </c>
      <c r="B49" s="12">
        <v>0.41666666666666669</v>
      </c>
      <c r="C49" s="12">
        <v>0.45833333333333331</v>
      </c>
      <c r="D49" s="14">
        <f t="shared" ref="D49:D52" si="12">(C49-B49)*24</f>
        <v>0.99999999999999911</v>
      </c>
      <c r="E49" s="4"/>
      <c r="F49" s="4"/>
      <c r="G49" s="4"/>
      <c r="H49" s="9" t="s">
        <v>31</v>
      </c>
      <c r="I49" s="4">
        <f>SUM(E1:E55)</f>
        <v>24.499999999999989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5.75" x14ac:dyDescent="0.2">
      <c r="A50" s="11" t="s">
        <v>8</v>
      </c>
      <c r="B50" s="12">
        <v>0.41666666666666669</v>
      </c>
      <c r="C50" s="12">
        <v>0.45833333333333331</v>
      </c>
      <c r="D50" s="14">
        <f t="shared" si="12"/>
        <v>0.99999999999999911</v>
      </c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5.75" x14ac:dyDescent="0.2">
      <c r="A51" s="11" t="s">
        <v>4</v>
      </c>
      <c r="B51" s="12">
        <v>0.41666666666666669</v>
      </c>
      <c r="C51" s="12">
        <v>0.45833333333333331</v>
      </c>
      <c r="D51" s="14">
        <f t="shared" si="12"/>
        <v>0.99999999999999911</v>
      </c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5.75" x14ac:dyDescent="0.2">
      <c r="A52" s="11" t="s">
        <v>12</v>
      </c>
      <c r="B52" s="12">
        <v>0.42708333333333331</v>
      </c>
      <c r="C52" s="12">
        <v>0.45833333333333331</v>
      </c>
      <c r="D52" s="14">
        <f t="shared" si="12"/>
        <v>0.75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5.75" x14ac:dyDescent="0.2">
      <c r="A53" s="11" t="s">
        <v>10</v>
      </c>
      <c r="B53" s="4" t="s">
        <v>46</v>
      </c>
      <c r="C53" s="4"/>
      <c r="D53" s="14"/>
      <c r="E53" s="51">
        <f>SUM(D49:D55)</f>
        <v>5.2499999999999973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5.75" x14ac:dyDescent="0.2">
      <c r="A54" s="11" t="s">
        <v>4</v>
      </c>
      <c r="B54" s="12">
        <v>0.75</v>
      </c>
      <c r="C54" s="12">
        <v>0.8125</v>
      </c>
      <c r="D54" s="14">
        <f>(C54-B54)*24</f>
        <v>1.5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15.75" x14ac:dyDescent="0.2">
      <c r="A55" s="11"/>
      <c r="B55" s="4"/>
      <c r="C55" s="4"/>
      <c r="D55" s="19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5.75" x14ac:dyDescent="0.2">
      <c r="A56" s="52"/>
      <c r="B56" s="53"/>
      <c r="C56" s="53"/>
      <c r="D56" s="46"/>
      <c r="E56" s="46"/>
      <c r="F56" s="46"/>
      <c r="G56" s="46"/>
      <c r="H56" s="46"/>
      <c r="I56" s="46"/>
      <c r="J56" s="46"/>
      <c r="K56" s="46"/>
      <c r="L56" s="9" t="s">
        <v>47</v>
      </c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15.75" x14ac:dyDescent="0.2">
      <c r="A57" s="35">
        <v>44298</v>
      </c>
      <c r="B57" s="2"/>
      <c r="C57" s="2"/>
      <c r="D57" s="3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5.75" x14ac:dyDescent="0.2">
      <c r="A58" s="11" t="s">
        <v>6</v>
      </c>
      <c r="B58" s="12">
        <v>0.39583333333333331</v>
      </c>
      <c r="C58" s="12">
        <v>0.41666666666666669</v>
      </c>
      <c r="D58" s="14">
        <f t="shared" ref="D58:D61" si="13">(C58-B58)*24</f>
        <v>0.50000000000000089</v>
      </c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5.75" x14ac:dyDescent="0.2">
      <c r="A59" s="11" t="s">
        <v>8</v>
      </c>
      <c r="B59" s="12">
        <v>0.39583333333333331</v>
      </c>
      <c r="C59" s="12">
        <v>0.41666666666666669</v>
      </c>
      <c r="D59" s="14">
        <f t="shared" si="13"/>
        <v>0.50000000000000089</v>
      </c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5.75" x14ac:dyDescent="0.2">
      <c r="A60" s="11" t="s">
        <v>4</v>
      </c>
      <c r="B60" s="12">
        <v>0.39583333333333331</v>
      </c>
      <c r="C60" s="12">
        <v>0.41666666666666669</v>
      </c>
      <c r="D60" s="14">
        <f t="shared" si="13"/>
        <v>0.50000000000000089</v>
      </c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5.75" x14ac:dyDescent="0.2">
      <c r="A61" s="11" t="s">
        <v>12</v>
      </c>
      <c r="B61" s="12">
        <v>0.39583333333333331</v>
      </c>
      <c r="C61" s="12">
        <v>0.41666666666666669</v>
      </c>
      <c r="D61" s="14">
        <f t="shared" si="13"/>
        <v>0.50000000000000089</v>
      </c>
      <c r="E61" s="51">
        <f>SUM(D58:D62)</f>
        <v>2.0000000000000036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15.75" x14ac:dyDescent="0.2">
      <c r="A62" s="11" t="s">
        <v>10</v>
      </c>
      <c r="B62" s="4" t="s">
        <v>46</v>
      </c>
      <c r="C62" s="4"/>
      <c r="D62" s="1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5.75" x14ac:dyDescent="0.2">
      <c r="A63" s="23"/>
      <c r="B63" s="24"/>
      <c r="C63" s="2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5.75" x14ac:dyDescent="0.2">
      <c r="A64" s="35">
        <v>44300</v>
      </c>
      <c r="B64" s="2"/>
      <c r="C64" s="2"/>
      <c r="D64" s="3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15.75" x14ac:dyDescent="0.2">
      <c r="A65" s="11" t="s">
        <v>6</v>
      </c>
      <c r="B65" s="12">
        <v>0.39583333333333331</v>
      </c>
      <c r="C65" s="12">
        <v>0.4375</v>
      </c>
      <c r="D65" s="14">
        <f t="shared" ref="D65:D68" si="14">(C65-B65)*24</f>
        <v>1.0000000000000004</v>
      </c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5.75" x14ac:dyDescent="0.2">
      <c r="A66" s="11" t="s">
        <v>8</v>
      </c>
      <c r="B66" s="12">
        <v>0.39583333333333331</v>
      </c>
      <c r="C66" s="12">
        <v>0.4375</v>
      </c>
      <c r="D66" s="14">
        <f t="shared" si="14"/>
        <v>1.0000000000000004</v>
      </c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5.75" x14ac:dyDescent="0.2">
      <c r="A67" s="11" t="s">
        <v>4</v>
      </c>
      <c r="B67" s="12">
        <v>0.39583333333333331</v>
      </c>
      <c r="C67" s="12">
        <v>0.4375</v>
      </c>
      <c r="D67" s="14">
        <f t="shared" si="14"/>
        <v>1.0000000000000004</v>
      </c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5.75" x14ac:dyDescent="0.2">
      <c r="A68" s="11" t="s">
        <v>12</v>
      </c>
      <c r="B68" s="12">
        <v>0.39583333333333331</v>
      </c>
      <c r="C68" s="12">
        <v>0.4375</v>
      </c>
      <c r="D68" s="14">
        <f t="shared" si="14"/>
        <v>1.0000000000000004</v>
      </c>
      <c r="E68" s="51">
        <f>SUM(D65:D69)</f>
        <v>4.0000000000000018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5.75" x14ac:dyDescent="0.2">
      <c r="A69" s="11" t="s">
        <v>10</v>
      </c>
      <c r="B69" s="4" t="s">
        <v>46</v>
      </c>
      <c r="C69" s="4"/>
      <c r="D69" s="19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5.75" x14ac:dyDescent="0.2">
      <c r="A70" s="54" t="s">
        <v>48</v>
      </c>
      <c r="B70" s="24"/>
      <c r="C70" s="2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5.75" x14ac:dyDescent="0.2">
      <c r="A71" s="55"/>
      <c r="B71" s="4"/>
      <c r="C71" s="4"/>
      <c r="D71" s="56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5.75" x14ac:dyDescent="0.2">
      <c r="A72" s="55"/>
      <c r="B72" s="4"/>
      <c r="C72" s="4"/>
      <c r="D72" s="56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5.75" x14ac:dyDescent="0.2">
      <c r="A73" s="35">
        <v>44304</v>
      </c>
      <c r="B73" s="2"/>
      <c r="C73" s="2"/>
      <c r="D73" s="3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5.75" x14ac:dyDescent="0.2">
      <c r="A74" s="11" t="s">
        <v>8</v>
      </c>
      <c r="B74" s="12"/>
      <c r="C74" s="12"/>
      <c r="D74" s="14">
        <v>2</v>
      </c>
      <c r="E74" s="51">
        <f>SUM(D74)</f>
        <v>2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5.75" x14ac:dyDescent="0.2">
      <c r="A75" s="57" t="s">
        <v>48</v>
      </c>
      <c r="B75" s="58"/>
      <c r="C75" s="58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5.75" x14ac:dyDescent="0.2">
      <c r="A76" s="55"/>
      <c r="B76" s="4"/>
      <c r="C76" s="4"/>
      <c r="D76" s="56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5.75" x14ac:dyDescent="0.2">
      <c r="A77" s="55"/>
      <c r="B77" s="4"/>
      <c r="C77" s="4"/>
      <c r="D77" s="56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5.75" x14ac:dyDescent="0.2">
      <c r="A78" s="35">
        <v>44305</v>
      </c>
      <c r="B78" s="2"/>
      <c r="C78" s="2"/>
      <c r="D78" s="3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5.75" x14ac:dyDescent="0.2">
      <c r="A79" s="11" t="s">
        <v>6</v>
      </c>
      <c r="B79" s="12">
        <v>0.39583333333333331</v>
      </c>
      <c r="C79" s="12">
        <v>0.4375</v>
      </c>
      <c r="D79" s="14">
        <f t="shared" ref="D79:D81" si="15">(C79-B79)*24</f>
        <v>1.0000000000000004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5.75" x14ac:dyDescent="0.2">
      <c r="A80" s="11" t="s">
        <v>8</v>
      </c>
      <c r="B80" s="12">
        <v>0.39583333333333331</v>
      </c>
      <c r="C80" s="12">
        <v>0.4375</v>
      </c>
      <c r="D80" s="14">
        <f t="shared" si="15"/>
        <v>1.0000000000000004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5.75" x14ac:dyDescent="0.2">
      <c r="A81" s="11" t="s">
        <v>10</v>
      </c>
      <c r="B81" s="12">
        <v>0.39583333333333331</v>
      </c>
      <c r="C81" s="12">
        <v>0.4375</v>
      </c>
      <c r="D81" s="14">
        <f t="shared" si="15"/>
        <v>1.0000000000000004</v>
      </c>
      <c r="E81" s="51">
        <f>SUM(D79:D83)</f>
        <v>3.0000000000000013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5.75" x14ac:dyDescent="0.2">
      <c r="A82" s="11"/>
      <c r="B82" s="12"/>
      <c r="C82" s="12"/>
      <c r="D82" s="1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5.75" x14ac:dyDescent="0.2">
      <c r="A83" s="11"/>
      <c r="B83" s="4"/>
      <c r="C83" s="4"/>
      <c r="D83" s="19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5.75" x14ac:dyDescent="0.2">
      <c r="A84" s="57" t="s">
        <v>48</v>
      </c>
      <c r="B84" s="58"/>
      <c r="C84" s="58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5.75" x14ac:dyDescent="0.2">
      <c r="A85" s="55"/>
      <c r="B85" s="4"/>
      <c r="C85" s="4"/>
      <c r="D85" s="56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5.75" x14ac:dyDescent="0.2">
      <c r="A86" s="35">
        <v>44307</v>
      </c>
      <c r="B86" s="2"/>
      <c r="C86" s="2"/>
      <c r="D86" s="3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5.75" x14ac:dyDescent="0.2">
      <c r="A87" s="11" t="s">
        <v>6</v>
      </c>
      <c r="B87" s="12">
        <v>0.42708333333333331</v>
      </c>
      <c r="C87" s="12">
        <v>0.5</v>
      </c>
      <c r="D87" s="14">
        <f t="shared" ref="D87:D89" si="16">(C87-B87)*24</f>
        <v>1.7500000000000004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5.75" x14ac:dyDescent="0.2">
      <c r="A88" s="11" t="s">
        <v>8</v>
      </c>
      <c r="B88" s="12">
        <v>0.42708333333333331</v>
      </c>
      <c r="C88" s="12">
        <v>0.5</v>
      </c>
      <c r="D88" s="14">
        <f t="shared" si="16"/>
        <v>1.7500000000000004</v>
      </c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5.75" x14ac:dyDescent="0.2">
      <c r="A89" s="11" t="s">
        <v>4</v>
      </c>
      <c r="B89" s="12">
        <v>0.42708333333333331</v>
      </c>
      <c r="C89" s="12">
        <v>0.5</v>
      </c>
      <c r="D89" s="14">
        <f t="shared" si="16"/>
        <v>1.7500000000000004</v>
      </c>
      <c r="E89" s="51">
        <f>SUM(D87:D89)</f>
        <v>5.2500000000000018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5" customHeight="1" x14ac:dyDescent="0.2">
      <c r="A90" s="11"/>
      <c r="B90" s="4"/>
      <c r="C90" s="4"/>
      <c r="D90" s="19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5.75" x14ac:dyDescent="0.2">
      <c r="A91" s="59"/>
      <c r="B91" s="58"/>
      <c r="C91" s="58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5.75" x14ac:dyDescent="0.2">
      <c r="A93" s="35">
        <v>44308</v>
      </c>
      <c r="B93" s="2"/>
      <c r="C93" s="2"/>
      <c r="D93" s="3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5.75" x14ac:dyDescent="0.2">
      <c r="A94" s="11" t="s">
        <v>4</v>
      </c>
      <c r="B94" s="12">
        <v>0.54166666666666663</v>
      </c>
      <c r="C94" s="12">
        <v>0.625</v>
      </c>
      <c r="D94" s="14">
        <f>(C94-B94)*24</f>
        <v>2.0000000000000009</v>
      </c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5.75" x14ac:dyDescent="0.2">
      <c r="A95" s="11"/>
      <c r="B95" s="12"/>
      <c r="C95" s="12"/>
      <c r="D95" s="14"/>
      <c r="E95" s="51">
        <f>SUM(D94:D96)</f>
        <v>2.0000000000000009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5.75" x14ac:dyDescent="0.2">
      <c r="A96" s="11"/>
      <c r="B96" s="12"/>
      <c r="C96" s="12"/>
      <c r="D96" s="1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5.75" x14ac:dyDescent="0.2">
      <c r="A97" s="59"/>
      <c r="B97" s="58"/>
      <c r="C97" s="58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5.75" x14ac:dyDescent="0.2">
      <c r="A98" s="35">
        <v>44311</v>
      </c>
      <c r="B98" s="2"/>
      <c r="C98" s="2"/>
      <c r="D98" s="3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5.75" x14ac:dyDescent="0.2">
      <c r="A99" s="11" t="s">
        <v>6</v>
      </c>
      <c r="B99" s="4"/>
      <c r="C99" s="4"/>
      <c r="D99" s="19">
        <v>3</v>
      </c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5.75" x14ac:dyDescent="0.2">
      <c r="A100" s="23"/>
      <c r="B100" s="24"/>
      <c r="C100" s="24"/>
      <c r="D100" s="60"/>
      <c r="E100" s="16">
        <f>SUM(D99:D100)</f>
        <v>3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5.75" x14ac:dyDescent="0.2">
      <c r="A102" s="35">
        <v>44312</v>
      </c>
      <c r="B102" s="2"/>
      <c r="C102" s="2"/>
      <c r="D102" s="3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5.75" x14ac:dyDescent="0.2">
      <c r="A103" s="11" t="s">
        <v>6</v>
      </c>
      <c r="B103" s="12">
        <v>0.39583333333333331</v>
      </c>
      <c r="C103" s="12">
        <v>0.41666666666666669</v>
      </c>
      <c r="D103" s="14">
        <f t="shared" ref="D103:D106" si="17">(C103-B103)*24</f>
        <v>0.50000000000000089</v>
      </c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5.75" x14ac:dyDescent="0.2">
      <c r="A104" s="11" t="s">
        <v>12</v>
      </c>
      <c r="B104" s="12">
        <v>0.39583333333333331</v>
      </c>
      <c r="C104" s="12">
        <v>0.41666666666666669</v>
      </c>
      <c r="D104" s="14">
        <f t="shared" si="17"/>
        <v>0.50000000000000089</v>
      </c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5.75" x14ac:dyDescent="0.2">
      <c r="A105" s="11" t="s">
        <v>8</v>
      </c>
      <c r="B105" s="12">
        <v>0.39583333333333331</v>
      </c>
      <c r="C105" s="12">
        <v>0.41666666666666669</v>
      </c>
      <c r="D105" s="14">
        <f t="shared" si="17"/>
        <v>0.50000000000000089</v>
      </c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5.75" x14ac:dyDescent="0.2">
      <c r="A106" s="11" t="s">
        <v>4</v>
      </c>
      <c r="B106" s="12">
        <v>0.39583333333333331</v>
      </c>
      <c r="C106" s="12">
        <v>0.41666666666666669</v>
      </c>
      <c r="D106" s="14">
        <f t="shared" si="17"/>
        <v>0.50000000000000089</v>
      </c>
      <c r="E106" s="51">
        <f>SUM(D103:D106)</f>
        <v>2.0000000000000036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5" customHeight="1" x14ac:dyDescent="0.2">
      <c r="A107" s="11"/>
      <c r="B107" s="4"/>
      <c r="C107" s="4"/>
      <c r="D107" s="19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5.75" x14ac:dyDescent="0.2">
      <c r="A108" s="23"/>
      <c r="B108" s="24"/>
      <c r="C108" s="2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5.75" x14ac:dyDescent="0.2">
      <c r="A109" s="61"/>
      <c r="B109" s="61"/>
      <c r="C109" s="61"/>
      <c r="D109" s="61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5.75" x14ac:dyDescent="0.2">
      <c r="A110" s="35">
        <v>44314</v>
      </c>
      <c r="B110" s="2"/>
      <c r="C110" s="2"/>
      <c r="D110" s="3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5.75" x14ac:dyDescent="0.2">
      <c r="A111" s="11" t="s">
        <v>6</v>
      </c>
      <c r="B111" s="12">
        <v>0.10416666666666667</v>
      </c>
      <c r="C111" s="12">
        <v>0.16666666666666666</v>
      </c>
      <c r="D111" s="19">
        <v>1.5</v>
      </c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5.75" x14ac:dyDescent="0.2">
      <c r="A112" s="11" t="s">
        <v>6</v>
      </c>
      <c r="B112" s="12">
        <v>0.39583333333333331</v>
      </c>
      <c r="C112" s="12">
        <v>0.45833333333333331</v>
      </c>
      <c r="D112" s="14">
        <f t="shared" ref="D112:D115" si="18">(C112-B112)*24</f>
        <v>1.5</v>
      </c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5.75" x14ac:dyDescent="0.2">
      <c r="A113" s="11" t="s">
        <v>12</v>
      </c>
      <c r="B113" s="12">
        <v>0.39583333333333331</v>
      </c>
      <c r="C113" s="12">
        <v>0.42708333333333331</v>
      </c>
      <c r="D113" s="14">
        <f t="shared" si="18"/>
        <v>0.75</v>
      </c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5.75" x14ac:dyDescent="0.2">
      <c r="A114" s="11" t="s">
        <v>8</v>
      </c>
      <c r="B114" s="12">
        <v>0.39583333333333331</v>
      </c>
      <c r="C114" s="12">
        <v>0.44791666666666669</v>
      </c>
      <c r="D114" s="14">
        <f t="shared" si="18"/>
        <v>1.2500000000000009</v>
      </c>
      <c r="E114" s="34">
        <f>SUM(D111:D115)</f>
        <v>6.5000000000000009</v>
      </c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5.75" x14ac:dyDescent="0.2">
      <c r="A115" s="11" t="s">
        <v>4</v>
      </c>
      <c r="B115" s="12">
        <v>0.39583333333333331</v>
      </c>
      <c r="C115" s="12">
        <v>0.45833333333333331</v>
      </c>
      <c r="D115" s="14">
        <f t="shared" si="18"/>
        <v>1.5</v>
      </c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5.75" x14ac:dyDescent="0.2">
      <c r="A116" s="59"/>
      <c r="B116" s="58"/>
      <c r="C116" s="58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5.75" x14ac:dyDescent="0.2">
      <c r="A118" s="35">
        <v>44316</v>
      </c>
      <c r="B118" s="2"/>
      <c r="C118" s="2"/>
      <c r="D118" s="3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5.75" x14ac:dyDescent="0.2">
      <c r="A119" s="11" t="s">
        <v>4</v>
      </c>
      <c r="B119" s="12">
        <v>0.58333333333333337</v>
      </c>
      <c r="C119" s="12">
        <v>0.70833333333333337</v>
      </c>
      <c r="D119" s="14">
        <f>(C119-B119)*24</f>
        <v>3</v>
      </c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5" customHeight="1" x14ac:dyDescent="0.2">
      <c r="A120" s="11"/>
      <c r="B120" s="4"/>
      <c r="C120" s="4"/>
      <c r="D120" s="19"/>
      <c r="E120" s="51">
        <f>SUM(D119:D121)</f>
        <v>3</v>
      </c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5" customHeight="1" x14ac:dyDescent="0.2">
      <c r="A121" s="11"/>
      <c r="B121" s="4"/>
      <c r="C121" s="4"/>
      <c r="D121" s="19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5.75" x14ac:dyDescent="0.2">
      <c r="A122" s="23"/>
      <c r="B122" s="24"/>
      <c r="C122" s="2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5.75" x14ac:dyDescent="0.2">
      <c r="A124" s="35">
        <v>44317</v>
      </c>
      <c r="B124" s="2"/>
      <c r="C124" s="2"/>
      <c r="D124" s="3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5.75" x14ac:dyDescent="0.2">
      <c r="A125" s="11" t="s">
        <v>4</v>
      </c>
      <c r="B125" s="12">
        <v>0.66666666666666663</v>
      </c>
      <c r="C125" s="12">
        <v>0.83333333333333337</v>
      </c>
      <c r="D125" s="14">
        <f>(C125-B125)*24</f>
        <v>4.0000000000000018</v>
      </c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5" customHeight="1" x14ac:dyDescent="0.2">
      <c r="A126" s="11"/>
      <c r="B126" s="4"/>
      <c r="C126" s="4"/>
      <c r="D126" s="19"/>
      <c r="E126" s="51">
        <f>SUM(D125:D126)</f>
        <v>4.0000000000000018</v>
      </c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5.75" x14ac:dyDescent="0.2">
      <c r="A127" s="23"/>
      <c r="B127" s="24"/>
      <c r="C127" s="2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5.75" x14ac:dyDescent="0.2">
      <c r="A129" s="35">
        <v>44318</v>
      </c>
      <c r="B129" s="2"/>
      <c r="C129" s="2"/>
      <c r="D129" s="3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5.75" x14ac:dyDescent="0.2">
      <c r="A130" s="11" t="s">
        <v>4</v>
      </c>
      <c r="B130" s="12">
        <v>0.5</v>
      </c>
      <c r="C130" s="12">
        <v>0.58333333333333337</v>
      </c>
      <c r="D130" s="14">
        <f>(C130-B130)*24</f>
        <v>2.0000000000000009</v>
      </c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5.75" x14ac:dyDescent="0.2">
      <c r="A131" s="11" t="s">
        <v>8</v>
      </c>
      <c r="B131" s="12">
        <v>0.75</v>
      </c>
      <c r="C131" s="12">
        <v>0.875</v>
      </c>
      <c r="D131" s="14">
        <v>3</v>
      </c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5" customHeight="1" x14ac:dyDescent="0.2">
      <c r="A132" s="11"/>
      <c r="B132" s="4"/>
      <c r="C132" s="4"/>
      <c r="D132" s="19"/>
      <c r="E132" s="51">
        <f>SUM(D130:D132)</f>
        <v>5.0000000000000009</v>
      </c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5.75" x14ac:dyDescent="0.2">
      <c r="A133" s="23"/>
      <c r="B133" s="24"/>
      <c r="C133" s="2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5.75" x14ac:dyDescent="0.2">
      <c r="A135" s="35">
        <v>44319</v>
      </c>
      <c r="B135" s="2"/>
      <c r="C135" s="2"/>
      <c r="D135" s="3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5.75" x14ac:dyDescent="0.2">
      <c r="A136" s="11" t="s">
        <v>6</v>
      </c>
      <c r="B136" s="12">
        <v>0.125</v>
      </c>
      <c r="C136" s="12">
        <v>0.16666666666666666</v>
      </c>
      <c r="D136" s="14">
        <f t="shared" ref="D136:D138" si="19">(C136-B136)*24</f>
        <v>0.99999999999999978</v>
      </c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5.75" x14ac:dyDescent="0.2">
      <c r="A137" s="11" t="s">
        <v>8</v>
      </c>
      <c r="B137" s="12">
        <v>0.375</v>
      </c>
      <c r="C137" s="12">
        <v>0.4375</v>
      </c>
      <c r="D137" s="14">
        <f t="shared" si="19"/>
        <v>1.5</v>
      </c>
      <c r="E137" s="51">
        <f>SUM(D136:D138)</f>
        <v>4.5000000000000009</v>
      </c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5.75" x14ac:dyDescent="0.2">
      <c r="A138" s="11" t="s">
        <v>8</v>
      </c>
      <c r="B138" s="12">
        <v>0.66666666666666663</v>
      </c>
      <c r="C138" s="12">
        <v>0.75</v>
      </c>
      <c r="D138" s="14">
        <f t="shared" si="19"/>
        <v>2.0000000000000009</v>
      </c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5" customHeight="1" x14ac:dyDescent="0.2">
      <c r="A139" s="11"/>
      <c r="B139" s="4"/>
      <c r="C139" s="4"/>
      <c r="D139" s="19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5.75" x14ac:dyDescent="0.2">
      <c r="A140" s="23"/>
      <c r="B140" s="24"/>
      <c r="C140" s="2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5.75" x14ac:dyDescent="0.2">
      <c r="A142" s="35">
        <v>44320</v>
      </c>
      <c r="B142" s="2"/>
      <c r="C142" s="2"/>
      <c r="D142" s="3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5.75" x14ac:dyDescent="0.2">
      <c r="A143" s="11" t="s">
        <v>8</v>
      </c>
      <c r="B143" s="12">
        <v>0.70833333333333337</v>
      </c>
      <c r="C143" s="12">
        <v>0.77083333333333337</v>
      </c>
      <c r="D143" s="14">
        <f t="shared" ref="D143:D144" si="20">(C143-B143)*24</f>
        <v>1.5</v>
      </c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5.75" x14ac:dyDescent="0.2">
      <c r="A144" s="11" t="s">
        <v>4</v>
      </c>
      <c r="B144" s="12">
        <v>0.45833333333333331</v>
      </c>
      <c r="C144" s="12">
        <v>0.52083333333333337</v>
      </c>
      <c r="D144" s="14">
        <f t="shared" si="20"/>
        <v>1.5000000000000013</v>
      </c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5" customHeight="1" x14ac:dyDescent="0.2">
      <c r="A145" s="11" t="s">
        <v>12</v>
      </c>
      <c r="B145" s="12">
        <v>0.875</v>
      </c>
      <c r="C145" s="12">
        <v>0.97916666666666663</v>
      </c>
      <c r="D145" s="14">
        <v>2.5</v>
      </c>
      <c r="E145" s="51">
        <f>SUM(D143:D146)</f>
        <v>7.5</v>
      </c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5.75" x14ac:dyDescent="0.2">
      <c r="A146" s="11" t="s">
        <v>4</v>
      </c>
      <c r="B146" s="12">
        <v>0.58333333333333337</v>
      </c>
      <c r="C146" s="12">
        <v>0.66666666666666663</v>
      </c>
      <c r="D146" s="14">
        <f>(C146-B146)*24</f>
        <v>1.9999999999999982</v>
      </c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5.75" x14ac:dyDescent="0.2">
      <c r="A147" s="23"/>
      <c r="B147" s="24"/>
      <c r="C147" s="2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5.75" x14ac:dyDescent="0.2">
      <c r="A148" s="61"/>
      <c r="B148" s="61"/>
      <c r="C148" s="61"/>
      <c r="D148" s="61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5.75" x14ac:dyDescent="0.2">
      <c r="A149" s="35">
        <v>44321</v>
      </c>
      <c r="B149" s="2"/>
      <c r="C149" s="2"/>
      <c r="D149" s="3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5.75" x14ac:dyDescent="0.2">
      <c r="A150" s="11" t="s">
        <v>6</v>
      </c>
      <c r="B150" s="12">
        <v>0.14583333333333334</v>
      </c>
      <c r="C150" s="12">
        <v>0.25</v>
      </c>
      <c r="D150" s="14">
        <f t="shared" ref="D150:D154" si="21">(C150-B150)*24</f>
        <v>2.5</v>
      </c>
      <c r="E150" s="4"/>
      <c r="F150" s="4" t="s">
        <v>49</v>
      </c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5.75" x14ac:dyDescent="0.2">
      <c r="A151" s="11" t="s">
        <v>6</v>
      </c>
      <c r="B151" s="12">
        <v>0.39583333333333331</v>
      </c>
      <c r="C151" s="12">
        <v>0.5</v>
      </c>
      <c r="D151" s="14">
        <f t="shared" si="21"/>
        <v>2.5000000000000004</v>
      </c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5.75" x14ac:dyDescent="0.2">
      <c r="A152" s="11" t="s">
        <v>4</v>
      </c>
      <c r="B152" s="12">
        <v>0.39583333333333331</v>
      </c>
      <c r="C152" s="12">
        <v>0.5</v>
      </c>
      <c r="D152" s="14">
        <f t="shared" si="21"/>
        <v>2.5000000000000004</v>
      </c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5.75" x14ac:dyDescent="0.2">
      <c r="A153" s="11" t="s">
        <v>8</v>
      </c>
      <c r="B153" s="12">
        <v>0.39583333333333331</v>
      </c>
      <c r="C153" s="12">
        <v>0.5</v>
      </c>
      <c r="D153" s="14">
        <f t="shared" si="21"/>
        <v>2.5000000000000004</v>
      </c>
      <c r="E153" s="51">
        <f>SUM(D150:D154)</f>
        <v>10.75</v>
      </c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5.75" x14ac:dyDescent="0.2">
      <c r="A154" s="11" t="s">
        <v>12</v>
      </c>
      <c r="B154" s="12">
        <v>0.39583333333333331</v>
      </c>
      <c r="C154" s="12">
        <v>0.42708333333333331</v>
      </c>
      <c r="D154" s="14">
        <f t="shared" si="21"/>
        <v>0.75</v>
      </c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5.75" x14ac:dyDescent="0.2">
      <c r="A155" s="23"/>
      <c r="B155" s="24"/>
      <c r="C155" s="2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5.75" x14ac:dyDescent="0.2">
      <c r="A157" s="35">
        <v>44323</v>
      </c>
      <c r="B157" s="2"/>
      <c r="C157" s="2"/>
      <c r="D157" s="3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5.75" x14ac:dyDescent="0.2">
      <c r="A158" s="23" t="s">
        <v>4</v>
      </c>
      <c r="B158" s="45">
        <v>0.52083333333333337</v>
      </c>
      <c r="C158" s="45">
        <v>0.60416666666666663</v>
      </c>
      <c r="D158" s="62">
        <f t="shared" ref="D158:D162" si="22">(C158-B158)*24</f>
        <v>1.9999999999999982</v>
      </c>
      <c r="E158" s="63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5.75" x14ac:dyDescent="0.2">
      <c r="A159" s="11" t="s">
        <v>4</v>
      </c>
      <c r="B159" s="12">
        <v>0.58333333333333337</v>
      </c>
      <c r="C159" s="12">
        <v>0.64583333333333337</v>
      </c>
      <c r="D159" s="14">
        <f t="shared" si="22"/>
        <v>1.5</v>
      </c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5.75" x14ac:dyDescent="0.2">
      <c r="A160" s="11" t="s">
        <v>8</v>
      </c>
      <c r="B160" s="12">
        <v>0.58333333333333337</v>
      </c>
      <c r="C160" s="12">
        <v>0.64583333333333337</v>
      </c>
      <c r="D160" s="14">
        <f t="shared" si="22"/>
        <v>1.5</v>
      </c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5.75" x14ac:dyDescent="0.2">
      <c r="A161" s="11" t="s">
        <v>6</v>
      </c>
      <c r="B161" s="12">
        <v>0.58333333333333337</v>
      </c>
      <c r="C161" s="12">
        <v>0.64583333333333337</v>
      </c>
      <c r="D161" s="14">
        <f t="shared" si="22"/>
        <v>1.5</v>
      </c>
      <c r="E161" s="51">
        <f>SUM(D158:D164)</f>
        <v>7.9999999999999982</v>
      </c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5.75" x14ac:dyDescent="0.2">
      <c r="A162" s="11" t="s">
        <v>12</v>
      </c>
      <c r="B162" s="12">
        <v>0.58333333333333337</v>
      </c>
      <c r="C162" s="12">
        <v>0.64583333333333337</v>
      </c>
      <c r="D162" s="14">
        <f t="shared" si="22"/>
        <v>1.5</v>
      </c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5" customHeight="1" x14ac:dyDescent="0.2">
      <c r="A163" s="11"/>
      <c r="B163" s="4"/>
      <c r="C163" s="4"/>
      <c r="D163" s="19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5" customHeight="1" x14ac:dyDescent="0.2">
      <c r="A164" s="11"/>
      <c r="B164" s="4"/>
      <c r="C164" s="4"/>
      <c r="D164" s="19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5.75" x14ac:dyDescent="0.2">
      <c r="A165" s="23"/>
      <c r="B165" s="24"/>
      <c r="C165" s="2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5.75" x14ac:dyDescent="0.2">
      <c r="A167" s="35">
        <v>44325</v>
      </c>
      <c r="B167" s="2"/>
      <c r="C167" s="2"/>
      <c r="D167" s="3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5.75" x14ac:dyDescent="0.2">
      <c r="A168" s="11" t="s">
        <v>8</v>
      </c>
      <c r="B168" s="12">
        <v>0.58333333333333337</v>
      </c>
      <c r="C168" s="12">
        <v>0.66666666666666663</v>
      </c>
      <c r="D168" s="14">
        <f>(C168-B168)*24</f>
        <v>1.9999999999999982</v>
      </c>
      <c r="E168" s="51">
        <f>SUM(D168:D169)</f>
        <v>1.9999999999999982</v>
      </c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5" customHeight="1" x14ac:dyDescent="0.2">
      <c r="A169" s="11"/>
      <c r="B169" s="12"/>
      <c r="C169" s="12"/>
      <c r="D169" s="1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5.75" x14ac:dyDescent="0.2">
      <c r="A170" s="23"/>
      <c r="B170" s="45"/>
      <c r="C170" s="45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5" customHeight="1" x14ac:dyDescent="0.2">
      <c r="A171" s="4"/>
      <c r="B171" s="12"/>
      <c r="C171" s="12"/>
      <c r="D171" s="6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5" customHeight="1" x14ac:dyDescent="0.2">
      <c r="A172" s="4"/>
      <c r="B172" s="12"/>
      <c r="C172" s="12"/>
      <c r="D172" s="6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5.75" x14ac:dyDescent="0.2">
      <c r="A173" s="65">
        <v>44326</v>
      </c>
      <c r="B173" s="2"/>
      <c r="C173" s="2"/>
      <c r="D173" s="3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5.75" x14ac:dyDescent="0.2">
      <c r="A174" s="66" t="s">
        <v>4</v>
      </c>
      <c r="B174" s="67">
        <v>0.45833333333333331</v>
      </c>
      <c r="C174" s="67">
        <v>0.5</v>
      </c>
      <c r="D174" s="14">
        <f>(C174-B174)*24</f>
        <v>1.0000000000000004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5.75" x14ac:dyDescent="0.2">
      <c r="A175" s="11"/>
      <c r="B175" s="4"/>
      <c r="C175" s="4"/>
      <c r="D175" s="14"/>
      <c r="E175" s="28">
        <f>SUM(D174:D179)</f>
        <v>9.25</v>
      </c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5.75" x14ac:dyDescent="0.2">
      <c r="A176" s="66" t="s">
        <v>4</v>
      </c>
      <c r="B176" s="67">
        <v>0.54166666666666663</v>
      </c>
      <c r="C176" s="67">
        <v>0.66666666666666663</v>
      </c>
      <c r="D176" s="14">
        <f t="shared" ref="D176:D179" si="23">(C176-B176)*24</f>
        <v>3</v>
      </c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5.75" x14ac:dyDescent="0.2">
      <c r="A177" s="66" t="s">
        <v>6</v>
      </c>
      <c r="B177" s="67">
        <v>0.54166666666666663</v>
      </c>
      <c r="C177" s="67">
        <v>0.66666666666666663</v>
      </c>
      <c r="D177" s="14">
        <f t="shared" si="23"/>
        <v>3</v>
      </c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5.75" x14ac:dyDescent="0.2">
      <c r="A178" s="66" t="s">
        <v>12</v>
      </c>
      <c r="B178" s="67">
        <v>0.54166666666666663</v>
      </c>
      <c r="C178" s="67">
        <v>0.59375</v>
      </c>
      <c r="D178" s="14">
        <f t="shared" si="23"/>
        <v>1.2500000000000009</v>
      </c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5.75" x14ac:dyDescent="0.2">
      <c r="A179" s="68" t="s">
        <v>8</v>
      </c>
      <c r="B179" s="67">
        <v>0.5625</v>
      </c>
      <c r="C179" s="69">
        <v>0.60416666666666663</v>
      </c>
      <c r="D179" s="62">
        <f t="shared" si="23"/>
        <v>0.99999999999999911</v>
      </c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5.75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5.75" x14ac:dyDescent="0.2">
      <c r="A181" s="65">
        <v>44327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5.75" x14ac:dyDescent="0.2">
      <c r="A182" s="9" t="s">
        <v>4</v>
      </c>
      <c r="B182" s="67">
        <v>0.39583333333333331</v>
      </c>
      <c r="C182" s="67">
        <v>0.4375</v>
      </c>
      <c r="D182" s="10">
        <f t="shared" ref="D182:D187" si="24">(C182-B182)*24</f>
        <v>1.0000000000000004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5.75" x14ac:dyDescent="0.2">
      <c r="A183" s="9" t="s">
        <v>4</v>
      </c>
      <c r="B183" s="67">
        <v>0.51041666666666663</v>
      </c>
      <c r="C183" s="70">
        <v>0.66666666666666663</v>
      </c>
      <c r="D183" s="10">
        <f t="shared" si="24"/>
        <v>3.75</v>
      </c>
      <c r="E183" s="28">
        <f>SUM(D182:D193)</f>
        <v>19.5</v>
      </c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5.75" x14ac:dyDescent="0.2">
      <c r="A184" s="9" t="s">
        <v>6</v>
      </c>
      <c r="B184" s="67">
        <v>0.5</v>
      </c>
      <c r="C184" s="70">
        <v>0.76041666666666663</v>
      </c>
      <c r="D184" s="10">
        <f t="shared" si="24"/>
        <v>6.2499999999999991</v>
      </c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5.75" x14ac:dyDescent="0.2">
      <c r="A185" s="71" t="s">
        <v>12</v>
      </c>
      <c r="B185" s="70">
        <v>0.57291666666666663</v>
      </c>
      <c r="C185" s="70">
        <v>0.66666666666666663</v>
      </c>
      <c r="D185" s="10">
        <f t="shared" si="24"/>
        <v>2.25</v>
      </c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5.75" x14ac:dyDescent="0.2">
      <c r="A186" s="71" t="s">
        <v>8</v>
      </c>
      <c r="B186" s="70">
        <v>0.58333333333333337</v>
      </c>
      <c r="C186" s="70">
        <v>0.66666666666666663</v>
      </c>
      <c r="D186" s="10">
        <f t="shared" si="24"/>
        <v>1.9999999999999982</v>
      </c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5.75" x14ac:dyDescent="0.2">
      <c r="A187" s="71" t="s">
        <v>4</v>
      </c>
      <c r="B187" s="70">
        <v>0.80208333333333337</v>
      </c>
      <c r="C187" s="70">
        <v>0.83333333333333337</v>
      </c>
      <c r="D187" s="10">
        <f t="shared" si="24"/>
        <v>0.75</v>
      </c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5.75" x14ac:dyDescent="0.2">
      <c r="A188" s="71" t="s">
        <v>12</v>
      </c>
      <c r="B188" s="70">
        <v>0.9375</v>
      </c>
      <c r="C188" s="70">
        <v>8.3333333333333329E-2</v>
      </c>
      <c r="D188" s="72">
        <v>3.5</v>
      </c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5.75" x14ac:dyDescent="0.2">
      <c r="A189" s="71"/>
      <c r="B189" s="70"/>
      <c r="C189" s="70"/>
      <c r="D189" s="10">
        <f t="shared" ref="D189:D193" si="25">(C189-B189)*24</f>
        <v>0</v>
      </c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5.75" x14ac:dyDescent="0.2">
      <c r="A190" s="4"/>
      <c r="B190" s="4"/>
      <c r="C190" s="4"/>
      <c r="D190" s="10">
        <f t="shared" si="25"/>
        <v>0</v>
      </c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5.75" x14ac:dyDescent="0.2">
      <c r="A191" s="4"/>
      <c r="B191" s="4"/>
      <c r="C191" s="4"/>
      <c r="D191" s="10">
        <f t="shared" si="25"/>
        <v>0</v>
      </c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5.75" x14ac:dyDescent="0.2">
      <c r="A192" s="4"/>
      <c r="B192" s="4"/>
      <c r="C192" s="4"/>
      <c r="D192" s="10">
        <f t="shared" si="25"/>
        <v>0</v>
      </c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5.75" x14ac:dyDescent="0.2">
      <c r="A193" s="4"/>
      <c r="B193" s="4"/>
      <c r="C193" s="4"/>
      <c r="D193" s="10">
        <f t="shared" si="25"/>
        <v>0</v>
      </c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5.75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5.75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5.75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5.75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5.75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5.75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5.75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5.75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5.75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5.75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5.75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5.75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5.75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5.75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5.75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5.75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5.75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5.75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5.75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5.75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5.75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5.75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5.75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5.75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5.75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5.75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5.75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5.75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5.75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5.75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5.75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5.75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5.75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5.75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5.75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5.75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5.75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5.75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5.75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5.75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5.75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5.75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5.75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5.75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5.75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5.75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5.75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5.75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5.75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5.75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5.75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5.75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5.75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5.75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5.75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5.75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5.75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5.75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5.75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5.75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5.75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5.75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5.75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5.75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5.75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5.75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5.75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5.75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5.75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5.75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5.75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5.75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5.75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5.75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5.75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5.75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5.75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5.75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5.75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5.75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5.75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5.75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5.75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5.75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5.75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5.75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5.75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5.75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5.75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5.75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5.75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5.75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5.75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5.75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5.75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5.75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5.75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5.75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5.75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5.75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5.75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5.75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5.75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5.75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5.75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5.75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5.75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5.75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5.75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5.75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5.75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5.75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5.75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5.75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5.75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5.75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5.75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5.75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5.75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5.75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5.75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5.75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5.75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5.75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5.75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5.75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5.75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5.75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5.75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5.75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5.75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5.75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5.75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5.75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5.75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5.75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5.75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5.75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5.75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5.75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5.75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5.75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5.75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5.75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5.75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5.75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5.75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5.75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5.75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5.75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5.75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5.75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5.75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5.75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5.75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5.75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5.75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5.75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5.75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5.75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5.75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5.75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5.75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5.75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5.75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5.75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5.75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5.75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5.75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5.75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5.75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5.75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5.75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5.75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5.75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5.75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5.75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5.75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5.75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5.75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5.75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5.75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5.75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5.75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5.75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5.75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5.75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5.75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5.75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5.75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5.75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5.75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5.75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5.75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5.75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5.75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5.75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5.75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5.75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5.75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5.75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5.75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5.75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5.75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5.75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5.75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5.75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5.75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5.75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5.75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5.75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5.75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5.75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5.75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5.75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5.75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5.75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5.75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5.75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5.75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5.75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5.75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5.75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5.75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5.75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5.75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5.75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5.75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5.75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5.75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5.75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5.75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5.75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5.75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5.75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5.75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5.75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5.75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5.75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5.75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5.75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5.75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5.75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5.75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5.75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5.75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5.75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5.75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5.75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5.75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5.75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5.75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5.75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5.75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5.75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5.75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5.75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5.75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5.75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5.75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5.75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5.75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5.75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5.75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5.75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5.75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5.75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5.75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5.75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5.75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5.75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5.75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5.75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5.75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5.75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5.75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5.75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5.75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5.75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5.75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5.75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5.75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5.75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5.75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5.75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5.75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5.75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5.75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5.75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5.75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5.75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5.75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5.75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5.75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5.75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5.75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5.75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5.75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5.75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5.75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5.75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5.75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5.75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5.75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5.75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5.75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5.75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5.75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5.75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5.75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5.75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5.75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5.75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5.75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5.75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5.75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5.75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5.75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5.75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5.75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5.75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5.75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5.75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5.75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5.75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5.75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5.75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5.75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5.75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5.75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5.75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5.75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5.75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5.75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5.75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5.75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5.75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5.75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5.75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5.75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5.75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5.75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5.75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5.75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5.75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5.75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5.75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5.75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5.75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5.75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5.75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5.75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5.75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5.75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5.75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5.75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5.75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5.75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5.75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5.75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5.75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5.75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5.75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5.75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5.75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5.75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5.75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5.75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5.75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5.75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5.75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5.75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5.75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5.75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5.75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5.75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5.75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5.75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5.75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5.75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5.75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5.75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5.75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5.75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5.75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5.75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5.75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5.75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5.75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5.75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5.75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5.75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5.75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5.75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5.75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5.75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5.75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5.75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5.75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5.75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5.75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5.75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5.75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5.75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5.75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5.75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5.75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5.75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5.75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5.75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5.75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5.75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5.75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5.75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5.75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5.75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5.75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5.75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5.75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5.75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5.75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5.75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5.75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5.75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5.75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5.75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5.75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5.75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5.75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5.75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5.75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5.75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5.75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5.75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5.75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5.75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5.75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5.75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5.75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5.75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5.75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5.75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5.75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5.75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5.75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5.75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5.75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5.75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5.75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5.75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5.75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5.75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5.75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5.75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5.75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5.75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5.75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5.75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5.75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5.75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5.75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5.75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5.75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5.75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5.75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5.75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5.75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5.75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5.75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5.75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5.75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5.75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5.75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5.75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5.75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5.75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5.75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5.75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5.75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5.75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5.75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5.75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5.75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5.75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5.75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5.75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5.75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5.75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5.75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5.75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5.75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5.75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5.75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5.75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5.75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5.75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5.75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5.75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5.75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5.75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5.75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5.75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5.75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5.75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5.75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5.75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5.75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5.75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5.75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5.75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5.75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5.75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5.75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5.75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5.75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5.75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5.75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5.75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5.75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5.75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5.75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5.75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5.75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5.75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5.75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5.75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5.75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5.75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5.75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5.75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5.75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5.75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5.75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5.75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5.75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5.75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5.75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5.75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5.75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5.75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5.75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5.75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5.75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5.75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5.75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5.75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5.75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5.75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5.75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5.75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5.75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5.75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5.75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5.75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5.75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5.75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5.75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5.75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5.75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5.75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5.75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5.75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5.75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5.75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5.75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5.75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5.75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5.75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5.75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5.75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5.75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5.75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5.75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5.75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5.75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5.75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5.75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5.75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5.75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5.75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5.75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5.75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5.75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5.75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5.75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5.75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5.75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5.75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5.75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5.75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5.75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5.75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5.75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5.75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5.75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5.75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5.75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5.75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5.75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5.75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5.75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5.75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5.75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5.75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5.75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5.75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5.75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5.75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5.75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5.75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5.75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5.75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5.75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5.75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5.75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5.75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5.75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5.75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5.75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5.75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5.75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5.75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5.75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5.75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5.75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5.75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5.75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5.75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5.75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5.75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5.75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5.75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5.75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5.75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5.75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5.75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5.75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5.75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5.75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5.75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5.75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5.75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5.75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5.75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5.75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5.75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5.75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5.75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5.75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5.75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5.75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5.75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5.75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5.75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5.75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5.75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5.75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5.75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5.75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5.75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5.75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5.75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5.75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5.75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5.75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5.75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5.75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5.75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5.75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5.75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5.75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5.75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5.75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5.75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5.75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5.75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5.75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5.75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5.75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5.75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5.75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5.75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5.75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5.75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5.75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5.75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5.75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5.75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5.75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5.75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5.75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5.75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5.75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5.75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5.75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5.75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5.75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5.75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5.75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5.75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5.75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5.75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5.75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5.75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5.75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5.75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5.75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5.75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5.75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5.75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5.75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5.75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5.75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5.75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5.75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5.75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5.75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5.75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5.75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5.75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5.75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5.75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5.75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5.75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5.75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5.75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5.75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5.75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5.75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5.75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5.75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5.75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5.75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5.75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5.75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5.75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5.75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5.75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5.75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5.75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5.75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5.75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5.75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5.75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5.75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5.75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5.75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5.75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5.75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5.75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5.75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5.75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5.75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5.75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5.75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5.75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5.75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5.75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5.75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5.75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5.75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5.75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5.75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5.75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5.75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5.75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5.75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5.75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5.75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5.75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5.75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5.75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5.75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5.75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5.75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5.75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5.75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5.75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5.75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5.75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5.75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5.75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5.75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5.75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5.75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5.75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5.75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5.75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5.75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5.75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5.75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5.75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5.75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5.75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Individual Tracking</vt:lpstr>
      <vt:lpstr>Cost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kaputa</dc:creator>
  <cp:lastModifiedBy>David Tassoni</cp:lastModifiedBy>
  <dcterms:created xsi:type="dcterms:W3CDTF">2015-06-05T18:17:20Z</dcterms:created>
  <dcterms:modified xsi:type="dcterms:W3CDTF">2021-05-12T14:57:36Z</dcterms:modified>
</cp:coreProperties>
</file>